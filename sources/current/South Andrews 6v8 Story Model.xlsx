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rogram" sheetId="3" state="visible" r:id="rId5"/>
    <sheet name="Budget" sheetId="4" state="visible" r:id="rId6"/>
    <sheet name="Operating" sheetId="5" state="visible" r:id="rId7"/>
    <sheet name="Retur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<sst xmlns="http://schemas.openxmlformats.org/spreadsheetml/2006/main" count="397" uniqueCount="285">
  <si>
    <t xml:space="preserve">EXECUTIVE SUMMARY — 6-STORY vs 8-STORY @ $8.0M LAND</t>
  </si>
  <si>
    <t xml:space="preserve">Metric</t>
  </si>
  <si>
    <t xml:space="preserve">6-Story</t>
  </si>
  <si>
    <t xml:space="preserve">8-Story</t>
  </si>
  <si>
    <t xml:space="preserve">Comment</t>
  </si>
  <si>
    <t xml:space="preserve">Total GBA (SF)</t>
  </si>
  <si>
    <t xml:space="preserve">Office floors / RSF</t>
  </si>
  <si>
    <t xml:space="preserve">2 floors (6-story) vs 3 floors (8-story)</t>
  </si>
  <si>
    <t xml:space="preserve">Parking spaces / ratio per 1k RSF</t>
  </si>
  <si>
    <t xml:space="preserve">Both exceed 4.0/1,000 institutional MOB standard</t>
  </si>
  <si>
    <t xml:space="preserve">Total development cost</t>
  </si>
  <si>
    <t xml:space="preserve">Incl. $8.0M land, chargers, solar, BESS, AV staging, garden</t>
  </si>
  <si>
    <t xml:space="preserve">Stabilized NOI</t>
  </si>
  <si>
    <t xml:space="preserve">AV staging lease EXCLUDED from base (toggle on Assumptions)</t>
  </si>
  <si>
    <t xml:space="preserve">Yield on cost</t>
  </si>
  <si>
    <t xml:space="preserve">Target: 150+ bps spread over 6.25% exit cap</t>
  </si>
  <si>
    <t xml:space="preserve">Stabilized value</t>
  </si>
  <si>
    <t xml:space="preserve">NOI / 6.25% cap</t>
  </si>
  <si>
    <t xml:space="preserve">Development profit</t>
  </si>
  <si>
    <t xml:space="preserve">Unlevered IRR (10-yr)</t>
  </si>
  <si>
    <t xml:space="preserve">QOZ 10-yr hold; levered returns higher with 65% LTC</t>
  </si>
  <si>
    <t xml:space="preserve">Unlevered equity multiple</t>
  </si>
  <si>
    <t xml:space="preserve">GOVERNANCE NOTE (OQ-01): This session's framing ('Andrews Mobility Nexus') follows Plan 3. The base-case revenue engine remains the</t>
  </si>
  <si>
    <t xml:space="preserve">healthcare-anchored program per the Project Constitution and Decision Log; AV/charging/solar/edge infrastructure is built-in optionality.</t>
  </si>
  <si>
    <t xml:space="preserve">Flip the AV staging lease toggle to 1 on the Assumptions tab to model a signed fleet-operator lease (adds $300K/yr NOI).</t>
  </si>
  <si>
    <t xml:space="preserve">All yellow cells are FORECAST/JUDGMENT-class inputs. Sensitivity: change any blue Assumptions cell; entire model recalculates.</t>
  </si>
  <si>
    <t xml:space="preserve">SOUTH ANDREWS — CONSTRUCTION &amp; RETURNS MODEL (6-Story vs 8-Story)</t>
  </si>
  <si>
    <t xml:space="preserve">All blue cells are inputs. Classification: FACT / ASSUMPTION / FORECAST / JUDGMENT. Basis date: Q3 2026.</t>
  </si>
  <si>
    <t xml:space="preserve">Input</t>
  </si>
  <si>
    <t xml:space="preserve">Value</t>
  </si>
  <si>
    <t xml:space="preserve">Unit</t>
  </si>
  <si>
    <t xml:space="preserve">Class</t>
  </si>
  <si>
    <t xml:space="preserve">Source / Note</t>
  </si>
  <si>
    <t xml:space="preserve">SITE &amp; PROGRAM</t>
  </si>
  <si>
    <t xml:space="preserve">Site area</t>
  </si>
  <si>
    <t xml:space="preserve">SF</t>
  </si>
  <si>
    <t xml:space="preserve">FACT</t>
  </si>
  <si>
    <t xml:space="preserve">Broward County parcel records; Site Analysis</t>
  </si>
  <si>
    <t xml:space="preserve">Typical floor plate</t>
  </si>
  <si>
    <t xml:space="preserve">ASSUMPTION</t>
  </si>
  <si>
    <t xml:space="preserve">Operational Study programming basis (efficient plate on 38,207 SF lot)</t>
  </si>
  <si>
    <t xml:space="preserve">SF per structured parking space (gross)</t>
  </si>
  <si>
    <t xml:space="preserve">SF/space</t>
  </si>
  <si>
    <t xml:space="preserve">Walker Consultants typical for flat-plate w/ external speed ramp</t>
  </si>
  <si>
    <t xml:space="preserve">Office rentable efficiency</t>
  </si>
  <si>
    <t xml:space="preserve">%</t>
  </si>
  <si>
    <t xml:space="preserve">Core &amp; shell over podium, side core</t>
  </si>
  <si>
    <t xml:space="preserve">Cafe / food service area (L1)</t>
  </si>
  <si>
    <t xml:space="preserve">Owner directive this session</t>
  </si>
  <si>
    <t xml:space="preserve">AV staging / ingress-egress zone (L1)</t>
  </si>
  <si>
    <t xml:space="preserve">Owner directive: separated AV ingress/egress + secured staging</t>
  </si>
  <si>
    <t xml:space="preserve">L1 lobby / BOH / MEP</t>
  </si>
  <si>
    <t xml:space="preserve">Typical podium ground allocation</t>
  </si>
  <si>
    <t xml:space="preserve">Edge compute penthouse (roof level)</t>
  </si>
  <si>
    <t xml:space="preserve">Conditioned enclosure; tenant-funded fit-out assumed</t>
  </si>
  <si>
    <t xml:space="preserve">Roof staff garden area</t>
  </si>
  <si>
    <t xml:space="preserve">Owner directive</t>
  </si>
  <si>
    <t xml:space="preserve">ACQUISITION &amp; TIMELINE</t>
  </si>
  <si>
    <t xml:space="preserve">Land acquisition (starting offer)</t>
  </si>
  <si>
    <t xml:space="preserve">$</t>
  </si>
  <si>
    <t xml:space="preserve">Owner directive: $8.0M opening offer. Appraisal reconciliation pending (OQ-12)</t>
  </si>
  <si>
    <t xml:space="preserve">Demolition &amp; sitework</t>
  </si>
  <si>
    <t xml:space="preserve">Two-parcel assemblage, minor structures, urban logistics</t>
  </si>
  <si>
    <t xml:space="preserve">Construction months — 6-story</t>
  </si>
  <si>
    <t xml:space="preserve">mo</t>
  </si>
  <si>
    <t xml:space="preserve">CIP post-tensioned, constrained site</t>
  </si>
  <si>
    <t xml:space="preserve">Construction months — 8-story</t>
  </si>
  <si>
    <t xml:space="preserve">Add ~1.5 mo per added level incl. structure cycle</t>
  </si>
  <si>
    <t xml:space="preserve">HARD COSTS (UNIT)</t>
  </si>
  <si>
    <t xml:space="preserve">Garage/podium shell — CIP PT FlexPark</t>
  </si>
  <si>
    <t xml:space="preserve">$/SF</t>
  </si>
  <si>
    <t xml:space="preserve">S FL Q1-2026 range $85–95 conventional; +12% convertibility premium (flat plates, 12-ft F2F, 80–100 psf) per Feasibility Study</t>
  </si>
  <si>
    <t xml:space="preserve">Office core &amp; shell (over podium)</t>
  </si>
  <si>
    <t xml:space="preserve">S FL Class A MOB-capable shell over transfer level</t>
  </si>
  <si>
    <t xml:space="preserve">Office TI allowance</t>
  </si>
  <si>
    <t xml:space="preserve">$/RSF</t>
  </si>
  <si>
    <t xml:space="preserve">Medical-capable spec suites; market TI packages $60–90</t>
  </si>
  <si>
    <t xml:space="preserve">Cafe/retail TI &amp; vanilla shell premium</t>
  </si>
  <si>
    <t xml:space="preserve">Food service infrastructure (grease, hoods, gas/elec)</t>
  </si>
  <si>
    <t xml:space="preserve">EV conduit rough-in (100% of stalls)</t>
  </si>
  <si>
    <t xml:space="preserve">$/stall</t>
  </si>
  <si>
    <t xml:space="preserve">Raceway+capacity during construction; 10x cheaper than retrofit (Feasibility Study: run conduit to 100%)</t>
  </si>
  <si>
    <t xml:space="preserve">Level 2 ports — count (initial)</t>
  </si>
  <si>
    <t xml:space="preserve">ports</t>
  </si>
  <si>
    <t xml:space="preserve">Owner directive: ~40 chargers total initial</t>
  </si>
  <si>
    <t xml:space="preserve">Level 2 — installed cost/port</t>
  </si>
  <si>
    <t xml:space="preserve">$/port</t>
  </si>
  <si>
    <t xml:space="preserve">Networked dual-port pedestal, S FL install</t>
  </si>
  <si>
    <t xml:space="preserve">DC fast chargers — count (initial)</t>
  </si>
  <si>
    <t xml:space="preserve">units</t>
  </si>
  <si>
    <t xml:space="preserve">150kW class; fleet/AV-capable; expandable</t>
  </si>
  <si>
    <t xml:space="preserve">DCFC — installed cost/unit</t>
  </si>
  <si>
    <t xml:space="preserve">$/unit</t>
  </si>
  <si>
    <t xml:space="preserve">Incl. share of switchgear/pads; excl. utility service</t>
  </si>
  <si>
    <t xml:space="preserve">Utility service &amp; switchgear upgrade</t>
  </si>
  <si>
    <t xml:space="preserve">FPL service, transformers, distribution; load study pending (Operational Study DD item)</t>
  </si>
  <si>
    <t xml:space="preserve">AV staging fit-out (gates, LPR, bollards, canopy)</t>
  </si>
  <si>
    <t xml:space="preserve">JUDGMENT</t>
  </si>
  <si>
    <t xml:space="preserve">Secured staging ground, separated ingress/egress controls</t>
  </si>
  <si>
    <t xml:space="preserve">Solar capacity — 6-story</t>
  </si>
  <si>
    <t xml:space="preserve">kW-DC</t>
  </si>
  <si>
    <t xml:space="preserve">Rooftop + top-deck canopy, net of garden/penthouse</t>
  </si>
  <si>
    <t xml:space="preserve">Solar capacity — 8-story</t>
  </si>
  <si>
    <t xml:space="preserve">Same roof; slightly larger canopy share</t>
  </si>
  <si>
    <t xml:space="preserve">Solar installed cost</t>
  </si>
  <si>
    <t xml:space="preserve">$/W</t>
  </si>
  <si>
    <t xml:space="preserve">NREL Q1-2026 commercial rooftop/canopy blended, pre-ITC</t>
  </si>
  <si>
    <t xml:space="preserve">Solar ITC captured</t>
  </si>
  <si>
    <t xml:space="preserve">IRA base+ credit; energy community/domestic content upside not underwritten</t>
  </si>
  <si>
    <t xml:space="preserve">Battery storage capacity</t>
  </si>
  <si>
    <t xml:space="preserve">kWh</t>
  </si>
  <si>
    <t xml:space="preserve">Peak shaving + DCFC demand-charge management</t>
  </si>
  <si>
    <t xml:space="preserve">Battery installed cost</t>
  </si>
  <si>
    <t xml:space="preserve">$/kWh</t>
  </si>
  <si>
    <t xml:space="preserve">NREL/BNEF commercial BESS installed</t>
  </si>
  <si>
    <t xml:space="preserve">Edge compute penthouse shell</t>
  </si>
  <si>
    <t xml:space="preserve">Structure, power/cooling rough-in; tenant funds racks/fit-out</t>
  </si>
  <si>
    <t xml:space="preserve">Roof garden construction</t>
  </si>
  <si>
    <t xml:space="preserve">Hardscape, shade, planting, irrigation on 5,000 SF</t>
  </si>
  <si>
    <t xml:space="preserve">SOFT COSTS &amp; FEES</t>
  </si>
  <si>
    <t xml:space="preserve">Soft costs (% of hard)</t>
  </si>
  <si>
    <t xml:space="preserve">A/E, permits, impact fees, legal, insurance, testing</t>
  </si>
  <si>
    <t xml:space="preserve">Hard cost contingency</t>
  </si>
  <si>
    <t xml:space="preserve">Design-stage contingency</t>
  </si>
  <si>
    <t xml:space="preserve">Developer fee (% of hard+soft)</t>
  </si>
  <si>
    <t xml:space="preserve">Institutional standard 3–5%</t>
  </si>
  <si>
    <t xml:space="preserve">Construction loan — LTC</t>
  </si>
  <si>
    <t xml:space="preserve">Institutional construction debt</t>
  </si>
  <si>
    <t xml:space="preserve">Construction loan rate</t>
  </si>
  <si>
    <t xml:space="preserve">SOFR + spread, Q3-2026 indicative</t>
  </si>
  <si>
    <t xml:space="preserve">Avg. balance drawn during construction</t>
  </si>
  <si>
    <t xml:space="preserve">S-curve draw approximation</t>
  </si>
  <si>
    <t xml:space="preserve">REVENUE</t>
  </si>
  <si>
    <t xml:space="preserve">Medical office rent (NNN)</t>
  </si>
  <si>
    <t xml:space="preserve">$/RSF/yr</t>
  </si>
  <si>
    <t xml:space="preserve">Broward Class A MOB $34–36/SF and rising (Operational Study, Q1-2026)</t>
  </si>
  <si>
    <t xml:space="preserve">Office stabilized vacancy</t>
  </si>
  <si>
    <t xml:space="preserve">Institutional MOB underwriting standard</t>
  </si>
  <si>
    <t xml:space="preserve">Cafe/retail rent (NNN)</t>
  </si>
  <si>
    <t xml:space="preserve">$/SF/yr</t>
  </si>
  <si>
    <t xml:space="preserve">South Andrews corridor retail</t>
  </si>
  <si>
    <t xml:space="preserve">Blended parking revenue / space / yr</t>
  </si>
  <si>
    <t xml:space="preserve">$/sp/yr</t>
  </si>
  <si>
    <t xml:space="preserve">Mix of monthly ($150–180/mo), daily, hospital overflow, events; Site Analysis pricing survey</t>
  </si>
  <si>
    <t xml:space="preserve">Parking opex ratio</t>
  </si>
  <si>
    <t xml:space="preserve">IPMI/Walker structured parking operations</t>
  </si>
  <si>
    <t xml:space="preserve">EV charging net income (stabilized)</t>
  </si>
  <si>
    <t xml:space="preserve">$/yr</t>
  </si>
  <si>
    <t xml:space="preserve">Net margin across 40 units after energy/network; conservative</t>
  </si>
  <si>
    <t xml:space="preserve">Solar production yield</t>
  </si>
  <si>
    <t xml:space="preserve">kWh/kW-yr</t>
  </si>
  <si>
    <t xml:space="preserve">S FL insolation, NREL PVWatts-class</t>
  </si>
  <si>
    <t xml:space="preserve">Value of solar energy offset</t>
  </si>
  <si>
    <t xml:space="preserve">FPL commercial blended rate avoided</t>
  </si>
  <si>
    <t xml:space="preserve">Edge penthouse lease</t>
  </si>
  <si>
    <t xml:space="preserve">FORECAST</t>
  </si>
  <si>
    <t xml:space="preserve">Only if colocation/telecom tenant signs; small allowance</t>
  </si>
  <si>
    <t xml:space="preserve">AV staging ground lease rate</t>
  </si>
  <si>
    <t xml:space="preserve">Fleet operator (Waymo/Zoox/Tesla) lease of 12,000 SF staging zone</t>
  </si>
  <si>
    <t xml:space="preserve">AV staging lease toggle (0 = excluded, 1 = included)</t>
  </si>
  <si>
    <t xml:space="preserve">0/1</t>
  </si>
  <si>
    <t xml:space="preserve">Base case EXCLUDES per Constitution §5 'Phase Innovation' — no LOI exists</t>
  </si>
  <si>
    <t xml:space="preserve">Management fee (% of EGI)</t>
  </si>
  <si>
    <t xml:space="preserve">Third-party institutional management</t>
  </si>
  <si>
    <t xml:space="preserve">Non-recoverable opex — office/retail</t>
  </si>
  <si>
    <t xml:space="preserve">$/SF GBA</t>
  </si>
  <si>
    <t xml:space="preserve">Structural reserves, vacancy-period costs</t>
  </si>
  <si>
    <t xml:space="preserve">EXIT &amp; GROWTH</t>
  </si>
  <si>
    <t xml:space="preserve">NOI growth</t>
  </si>
  <si>
    <t xml:space="preserve">%/yr</t>
  </si>
  <si>
    <t xml:space="preserve">Long-run MOB escalations</t>
  </si>
  <si>
    <t xml:space="preserve">Exit cap rate</t>
  </si>
  <si>
    <t xml:space="preserve">Institutional MOB/mixed 6.0–6.5% (Operational Study)</t>
  </si>
  <si>
    <t xml:space="preserve">Cost of sale</t>
  </si>
  <si>
    <t xml:space="preserve">Brokerage + closing</t>
  </si>
  <si>
    <t xml:space="preserve">Hold period</t>
  </si>
  <si>
    <t xml:space="preserve">yrs</t>
  </si>
  <si>
    <t xml:space="preserve">QOZ 10-year basis step-up alignment</t>
  </si>
  <si>
    <t xml:space="preserve">Lease-up: Year 1 / Year 2 occupancy ramp</t>
  </si>
  <si>
    <t xml:space="preserve">50% Yr1 post-CO, 90% Yr2, stabilized Yr3</t>
  </si>
  <si>
    <t xml:space="preserve">Lease-up Year 2 factor</t>
  </si>
  <si>
    <t xml:space="preserve">See above</t>
  </si>
  <si>
    <t xml:space="preserve">BUILDING PROGRAM &amp; STACKING</t>
  </si>
  <si>
    <t xml:space="preserve">Note</t>
  </si>
  <si>
    <t xml:space="preserve">Stories</t>
  </si>
  <si>
    <t xml:space="preserve">Both within RAC-RPO by-right height (110 ft); 8-story preserves headroom under limit</t>
  </si>
  <si>
    <t xml:space="preserve">Parking levels (L2 up)</t>
  </si>
  <si>
    <t xml:space="preserve">Flat-plate FlexPark levels; external speed ramp</t>
  </si>
  <si>
    <t xml:space="preserve">Office levels (top of stack)</t>
  </si>
  <si>
    <t xml:space="preserve">ANSWER TO OWNER QUESTION: 2 office floors (6-story) / 3 office floors (8-story)</t>
  </si>
  <si>
    <t xml:space="preserve">Floor plate (SF)</t>
  </si>
  <si>
    <t xml:space="preserve">L1 — AV staging + ingress/egress (SF)</t>
  </si>
  <si>
    <t xml:space="preserve">Separated, secured, blocked-off staging ground</t>
  </si>
  <si>
    <t xml:space="preserve">L1 — Cafe / food service (SF)</t>
  </si>
  <si>
    <t xml:space="preserve">Street-facing on S Andrews Ave</t>
  </si>
  <si>
    <t xml:space="preserve">L1 — Lobby / BOH / MEP (SF)</t>
  </si>
  <si>
    <t xml:space="preserve">L1 — Parking / DCFC bays (SF)</t>
  </si>
  <si>
    <t xml:space="preserve">DCFC cluster sited at grade near service entry</t>
  </si>
  <si>
    <t xml:space="preserve">Parking GBA above grade (SF)</t>
  </si>
  <si>
    <t xml:space="preserve">Parking levels x plate</t>
  </si>
  <si>
    <t xml:space="preserve">Office GBA (SF)</t>
  </si>
  <si>
    <t xml:space="preserve">Office levels x plate</t>
  </si>
  <si>
    <t xml:space="preserve">Office RSF</t>
  </si>
  <si>
    <t xml:space="preserve">85% efficiency</t>
  </si>
  <si>
    <t xml:space="preserve">L1 + parking + office</t>
  </si>
  <si>
    <t xml:space="preserve">Structured spaces (upper levels)</t>
  </si>
  <si>
    <t xml:space="preserve">350 SF/space gross</t>
  </si>
  <si>
    <t xml:space="preserve">Ground-level spaces</t>
  </si>
  <si>
    <t xml:space="preserve">Within L1 parking/DCFC area</t>
  </si>
  <si>
    <t xml:space="preserve">Total parking spaces</t>
  </si>
  <si>
    <t xml:space="preserve">Parking ratio (spaces / 1,000 RSF office)</t>
  </si>
  <si>
    <t xml:space="preserve">City medical req. ~4.0/1,000; institutional MOB 4.0–5.0</t>
  </si>
  <si>
    <t xml:space="preserve">Initial chargers (L2 ports + DCFC)</t>
  </si>
  <si>
    <t xml:space="preserve">40 initial; conduit to 100% of stalls for expansion (Waymo/Zoox/Tesla interest)</t>
  </si>
  <si>
    <t xml:space="preserve">DEVELOPMENT BUDGET (FORMULA-DRIVEN)</t>
  </si>
  <si>
    <t xml:space="preserve">Line Item</t>
  </si>
  <si>
    <t xml:space="preserve">Basis</t>
  </si>
  <si>
    <t xml:space="preserve">Land acquisition</t>
  </si>
  <si>
    <t xml:space="preserve">Starting offer per Owner</t>
  </si>
  <si>
    <t xml:space="preserve">Garage/podium structure (L1 + parking levels)</t>
  </si>
  <si>
    <t xml:space="preserve">CIP PT FlexPark $/SF x (L1 + parking GBA); conduit-ready convertible frame</t>
  </si>
  <si>
    <t xml:space="preserve">Office core &amp; shell</t>
  </si>
  <si>
    <t xml:space="preserve">$/SF x office GBA</t>
  </si>
  <si>
    <t xml:space="preserve">$/RSF x office RSF</t>
  </si>
  <si>
    <t xml:space="preserve">Cafe/food service TI &amp; shell premium</t>
  </si>
  <si>
    <t xml:space="preserve">Food-service infrastructure</t>
  </si>
  <si>
    <t xml:space="preserve">EV conduit rough-in — 100% of stalls</t>
  </si>
  <si>
    <t xml:space="preserve">$/stall x total spaces (construction-phase install)</t>
  </si>
  <si>
    <t xml:space="preserve">Level 2 chargers (initial)</t>
  </si>
  <si>
    <t xml:space="preserve">32 ports</t>
  </si>
  <si>
    <t xml:space="preserve">DC fast chargers (initial)</t>
  </si>
  <si>
    <t xml:space="preserve">8 units, 150kW class</t>
  </si>
  <si>
    <t xml:space="preserve">Utility service &amp; switchgear</t>
  </si>
  <si>
    <t xml:space="preserve">FPL load study pending</t>
  </si>
  <si>
    <t xml:space="preserve">AV staging fit-out</t>
  </si>
  <si>
    <t xml:space="preserve">Gates, LPR, bollards, canopy, comms</t>
  </si>
  <si>
    <t xml:space="preserve">Solar PV (net of 30% ITC)</t>
  </si>
  <si>
    <t xml:space="preserve">kW x $/W x (1-ITC); rooftop + top-deck canopy</t>
  </si>
  <si>
    <t xml:space="preserve">Battery storage (BESS)</t>
  </si>
  <si>
    <t xml:space="preserve">600 kWh peak-shave/demand mgmt</t>
  </si>
  <si>
    <t xml:space="preserve">Tenant funds racks/fit-out</t>
  </si>
  <si>
    <t xml:space="preserve">Roof staff garden</t>
  </si>
  <si>
    <t xml:space="preserve">5,000 SF amenity</t>
  </si>
  <si>
    <t xml:space="preserve">Hard cost subtotal (excl. land)</t>
  </si>
  <si>
    <t xml:space="preserve">Soft costs</t>
  </si>
  <si>
    <t xml:space="preserve">Contingency</t>
  </si>
  <si>
    <t xml:space="preserve">Developer fee</t>
  </si>
  <si>
    <t xml:space="preserve">Construction interest (est.)</t>
  </si>
  <si>
    <t xml:space="preserve">LTC x avg draw x rate x months; land drawn at close</t>
  </si>
  <si>
    <t xml:space="preserve">TOTAL DEVELOPMENT COST (TDC)</t>
  </si>
  <si>
    <t xml:space="preserve">TDC per GBA SF</t>
  </si>
  <si>
    <t xml:space="preserve">TDC per parking space (garage-only view n/a — mixed use)</t>
  </si>
  <si>
    <t xml:space="preserve">STABILIZED OPERATING PRO FORMA (YEAR-3 DOLLARS AT CO)</t>
  </si>
  <si>
    <t xml:space="preserve">Line</t>
  </si>
  <si>
    <t xml:space="preserve">Medical office income (NNN)</t>
  </si>
  <si>
    <t xml:space="preserve">RSF x rent x (1 - vacancy)</t>
  </si>
  <si>
    <t xml:space="preserve">Cafe/retail income (NNN)</t>
  </si>
  <si>
    <t xml:space="preserve">Parking income (gross)</t>
  </si>
  <si>
    <t xml:space="preserve">Spaces x blended $/space/yr (monthly + daily + hospital overflow + events)</t>
  </si>
  <si>
    <t xml:space="preserve">EV charging net income</t>
  </si>
  <si>
    <t xml:space="preserve">Net of energy/network</t>
  </si>
  <si>
    <t xml:space="preserve">Solar energy value</t>
  </si>
  <si>
    <t xml:space="preserve">kW x kWh/kW-yr x $/kWh avoided</t>
  </si>
  <si>
    <t xml:space="preserve">Edge penthouse lease (FORECAST)</t>
  </si>
  <si>
    <t xml:space="preserve">Small allowance</t>
  </si>
  <si>
    <t xml:space="preserve">AV staging ground lease (toggle)</t>
  </si>
  <si>
    <t xml:space="preserve">OFF in base case — no signed fleet operator; Constitution §5</t>
  </si>
  <si>
    <t xml:space="preserve">Effective gross income (EGI)</t>
  </si>
  <si>
    <t xml:space="preserve">Less: parking opex</t>
  </si>
  <si>
    <t xml:space="preserve">Less: management fee</t>
  </si>
  <si>
    <t xml:space="preserve">Less: non-recoverable opex</t>
  </si>
  <si>
    <t xml:space="preserve">STABILIZED NOI</t>
  </si>
  <si>
    <t xml:space="preserve">RETURNS — UNLEVERED 10-YEAR HOLD, EXIT AT CAP RATE</t>
  </si>
  <si>
    <t xml:space="preserve">Simplified annual convention: Yr 0 land + 40% costs, Yr 1 remaining 60%; CO end of Yr 1; lease-up Yrs 2-3; stabilized Yr 4; sale end Yr 10.</t>
  </si>
  <si>
    <t xml:space="preserve">SCENARIO: 6-Story</t>
  </si>
  <si>
    <t xml:space="preserve">Year</t>
  </si>
  <si>
    <t xml:space="preserve">NOI</t>
  </si>
  <si>
    <t xml:space="preserve">Development cost</t>
  </si>
  <si>
    <t xml:space="preserve">Net sale proceeds (end Yr 10)</t>
  </si>
  <si>
    <t xml:space="preserve">Net cash flow</t>
  </si>
  <si>
    <t xml:space="preserve">Total development cost (TDC)</t>
  </si>
  <si>
    <t xml:space="preserve">Yield on cost (Development yield)</t>
  </si>
  <si>
    <t xml:space="preserve">Stabilized value (NOI / exit cap)</t>
  </si>
  <si>
    <t xml:space="preserve">Development profit (value - TDC)</t>
  </si>
  <si>
    <t xml:space="preserve">SCENARIO: 8-Story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</si>
</sst>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$#,##0;&quot;($&quot;#,##0\);\-"/>
    <numFmt numFmtId="167" formatCode="0.00%"/>
    <numFmt numFmtId="168" formatCode="0.00\x"/>
    <numFmt numFmtId="169" formatCode="0.0%"/>
    <numFmt numFmtId="170" formatCode="\$#,##0.00;&quot;($&quot;#,##0.00\);\-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DCE5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DC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7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s">
        <v>5</v>
      </c>
      <c r="B4" s="5" t="n">
        <f aca="false">Program!B15</f>
        <v>210000</v>
      </c>
      <c r="C4" s="5" t="n">
        <f aca="false">Program!C15</f>
        <v>280000</v>
      </c>
      <c r="D4" s="6"/>
    </row>
    <row r="5" customFormat="false" ht="15" hidden="false" customHeight="true" outlineLevel="0" collapsed="false">
      <c r="A5" s="4" t="s">
        <v>6</v>
      </c>
      <c r="B5" s="4" t="str">
        <f aca="false">Program!B6&amp;" floors / "&amp;TEXT(Program!B14,"#,##0")&amp;" RSF"</f>
        <v>2 floors / 59,500 RSF</v>
      </c>
      <c r="C5" s="4" t="str">
        <f aca="false">Program!C6&amp;" floors / "&amp;TEXT(Program!C14,"#,##0")&amp;" RSF"</f>
        <v>3 floors / 89,250 RSF</v>
      </c>
      <c r="D5" s="6" t="s">
        <v>7</v>
      </c>
    </row>
    <row r="6" customFormat="false" ht="15" hidden="false" customHeight="true" outlineLevel="0" collapsed="false">
      <c r="A6" s="4" t="s">
        <v>8</v>
      </c>
      <c r="B6" s="4" t="str">
        <f aca="false">TEXT(Program!B18,"#,##0")&amp;" / "&amp;TEXT(Program!B19,"0.0")</f>
        <v>340 / 5.7</v>
      </c>
      <c r="C6" s="4" t="str">
        <f aca="false">TEXT(Program!C18,"#,##0")&amp;" / "&amp;TEXT(Program!C19,"0.0")</f>
        <v>440 / 4.9</v>
      </c>
      <c r="D6" s="6" t="s">
        <v>9</v>
      </c>
    </row>
    <row r="7" customFormat="false" ht="15" hidden="false" customHeight="true" outlineLevel="0" collapsed="false">
      <c r="A7" s="4" t="s">
        <v>10</v>
      </c>
      <c r="B7" s="7" t="n">
        <f aca="false">Returns!B11</f>
        <v>71515960.1762031</v>
      </c>
      <c r="C7" s="7" t="n">
        <f aca="false">Returns!B25</f>
        <v>94974409.9180817</v>
      </c>
      <c r="D7" s="6" t="s">
        <v>11</v>
      </c>
    </row>
    <row r="8" customFormat="false" ht="15" hidden="false" customHeight="true" outlineLevel="0" collapsed="false">
      <c r="A8" s="4" t="s">
        <v>12</v>
      </c>
      <c r="B8" s="7" t="n">
        <f aca="false">Returns!B12</f>
        <v>2738118.6</v>
      </c>
      <c r="C8" s="7" t="n">
        <f aca="false">Returns!B26</f>
        <v>3819881.5</v>
      </c>
      <c r="D8" s="6" t="s">
        <v>13</v>
      </c>
    </row>
    <row r="9" customFormat="false" ht="15" hidden="false" customHeight="true" outlineLevel="0" collapsed="false">
      <c r="A9" s="4" t="s">
        <v>14</v>
      </c>
      <c r="B9" s="8" t="n">
        <f aca="false">Returns!B13</f>
        <v>0.0382868186801064</v>
      </c>
      <c r="C9" s="8" t="n">
        <f aca="false">Returns!B27</f>
        <v>0.0402201130103863</v>
      </c>
      <c r="D9" s="6" t="s">
        <v>15</v>
      </c>
    </row>
    <row r="10" customFormat="false" ht="15" hidden="false" customHeight="true" outlineLevel="0" collapsed="false">
      <c r="A10" s="4" t="s">
        <v>16</v>
      </c>
      <c r="B10" s="7" t="n">
        <f aca="false">Returns!B14</f>
        <v>43809897.6</v>
      </c>
      <c r="C10" s="7" t="n">
        <f aca="false">Returns!B28</f>
        <v>61118104</v>
      </c>
      <c r="D10" s="6" t="s">
        <v>17</v>
      </c>
    </row>
    <row r="11" customFormat="false" ht="15" hidden="false" customHeight="true" outlineLevel="0" collapsed="false">
      <c r="A11" s="4" t="s">
        <v>18</v>
      </c>
      <c r="B11" s="7" t="n">
        <f aca="false">Returns!B15</f>
        <v>-27706062.5762031</v>
      </c>
      <c r="C11" s="7" t="n">
        <f aca="false">Returns!B29</f>
        <v>-33856305.9180817</v>
      </c>
      <c r="D11" s="6"/>
    </row>
    <row r="12" customFormat="false" ht="15" hidden="false" customHeight="true" outlineLevel="0" collapsed="false">
      <c r="A12" s="4" t="s">
        <v>19</v>
      </c>
      <c r="B12" s="8" t="n">
        <f aca="false">Returns!B16</f>
        <v>0.0124371505188767</v>
      </c>
      <c r="C12" s="8" t="n">
        <f aca="false">Returns!B30</f>
        <v>0.0185460313137203</v>
      </c>
      <c r="D12" s="6" t="s">
        <v>20</v>
      </c>
    </row>
    <row r="13" customFormat="false" ht="15" hidden="false" customHeight="true" outlineLevel="0" collapsed="false">
      <c r="A13" s="4" t="s">
        <v>21</v>
      </c>
      <c r="B13" s="9" t="n">
        <f aca="false">Returns!B17</f>
        <v>1.10779809256763</v>
      </c>
      <c r="C13" s="9" t="n">
        <f aca="false">Returns!B31</f>
        <v>1.16373639836812</v>
      </c>
      <c r="D13" s="6"/>
    </row>
    <row r="15" customFormat="false" ht="15" hidden="false" customHeight="true" outlineLevel="0" collapsed="false">
      <c r="A15" s="10" t="s">
        <v>22</v>
      </c>
    </row>
    <row r="16" customFormat="false" ht="15" hidden="false" customHeight="true" outlineLevel="0" collapsed="false">
      <c r="A16" s="10" t="s">
        <v>23</v>
      </c>
    </row>
    <row r="17" customFormat="false" ht="15" hidden="false" customHeight="true" outlineLevel="0" collapsed="false">
      <c r="A17" s="10" t="s">
        <v>24</v>
      </c>
    </row>
    <row r="18" customFormat="false" ht="15" hidden="false" customHeight="true" outlineLevel="0" collapsed="false">
      <c r="A18" s="1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58"/>
  </cols>
  <sheetData>
    <row r="1" customFormat="false" ht="17.25" hidden="false" customHeight="true" outlineLevel="0" collapsed="false">
      <c r="A1" s="2" t="s">
        <v>26</v>
      </c>
    </row>
    <row r="2" customFormat="false" ht="15" hidden="false" customHeight="true" outlineLevel="0" collapsed="false">
      <c r="A2" s="10" t="s">
        <v>27</v>
      </c>
    </row>
    <row r="4" customFormat="false" ht="15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</row>
    <row r="6" customFormat="false" ht="15" hidden="false" customHeight="true" outlineLevel="0" collapsed="false">
      <c r="A6" s="11" t="s">
        <v>33</v>
      </c>
      <c r="B6" s="12"/>
      <c r="C6" s="12"/>
      <c r="D6" s="12"/>
      <c r="E6" s="12"/>
    </row>
    <row r="7" customFormat="false" ht="15" hidden="false" customHeight="true" outlineLevel="0" collapsed="false">
      <c r="A7" s="4" t="s">
        <v>34</v>
      </c>
      <c r="B7" s="13" t="n">
        <v>38207</v>
      </c>
      <c r="C7" s="4" t="s">
        <v>35</v>
      </c>
      <c r="D7" s="14" t="s">
        <v>36</v>
      </c>
      <c r="E7" s="6" t="s">
        <v>37</v>
      </c>
    </row>
    <row r="8" customFormat="false" ht="15" hidden="false" customHeight="true" outlineLevel="0" collapsed="false">
      <c r="A8" s="4" t="s">
        <v>38</v>
      </c>
      <c r="B8" s="13" t="n">
        <v>35000</v>
      </c>
      <c r="C8" s="4" t="s">
        <v>35</v>
      </c>
      <c r="D8" s="4" t="s">
        <v>39</v>
      </c>
      <c r="E8" s="6" t="s">
        <v>40</v>
      </c>
    </row>
    <row r="9" customFormat="false" ht="15" hidden="false" customHeight="true" outlineLevel="0" collapsed="false">
      <c r="A9" s="4" t="s">
        <v>41</v>
      </c>
      <c r="B9" s="13" t="n">
        <v>350</v>
      </c>
      <c r="C9" s="4" t="s">
        <v>42</v>
      </c>
      <c r="D9" s="4" t="s">
        <v>39</v>
      </c>
      <c r="E9" s="6" t="s">
        <v>43</v>
      </c>
    </row>
    <row r="10" customFormat="false" ht="15" hidden="false" customHeight="true" outlineLevel="0" collapsed="false">
      <c r="A10" s="4" t="s">
        <v>44</v>
      </c>
      <c r="B10" s="15" t="n">
        <v>0.85</v>
      </c>
      <c r="C10" s="4" t="s">
        <v>45</v>
      </c>
      <c r="D10" s="4" t="s">
        <v>39</v>
      </c>
      <c r="E10" s="6" t="s">
        <v>46</v>
      </c>
    </row>
    <row r="11" customFormat="false" ht="15" hidden="false" customHeight="true" outlineLevel="0" collapsed="false">
      <c r="A11" s="4" t="s">
        <v>47</v>
      </c>
      <c r="B11" s="13" t="n">
        <v>4500</v>
      </c>
      <c r="C11" s="4" t="s">
        <v>35</v>
      </c>
      <c r="D11" s="4" t="s">
        <v>39</v>
      </c>
      <c r="E11" s="6" t="s">
        <v>48</v>
      </c>
    </row>
    <row r="12" customFormat="false" ht="15" hidden="false" customHeight="true" outlineLevel="0" collapsed="false">
      <c r="A12" s="4" t="s">
        <v>49</v>
      </c>
      <c r="B12" s="13" t="n">
        <v>12000</v>
      </c>
      <c r="C12" s="4" t="s">
        <v>35</v>
      </c>
      <c r="D12" s="4" t="s">
        <v>39</v>
      </c>
      <c r="E12" s="6" t="s">
        <v>50</v>
      </c>
    </row>
    <row r="13" customFormat="false" ht="15" hidden="false" customHeight="true" outlineLevel="0" collapsed="false">
      <c r="A13" s="4" t="s">
        <v>51</v>
      </c>
      <c r="B13" s="13" t="n">
        <v>4500</v>
      </c>
      <c r="C13" s="4" t="s">
        <v>35</v>
      </c>
      <c r="D13" s="4" t="s">
        <v>39</v>
      </c>
      <c r="E13" s="6" t="s">
        <v>52</v>
      </c>
    </row>
    <row r="14" customFormat="false" ht="15" hidden="false" customHeight="true" outlineLevel="0" collapsed="false">
      <c r="A14" s="4" t="s">
        <v>53</v>
      </c>
      <c r="B14" s="13" t="n">
        <v>2000</v>
      </c>
      <c r="C14" s="4" t="s">
        <v>35</v>
      </c>
      <c r="D14" s="4" t="s">
        <v>39</v>
      </c>
      <c r="E14" s="6" t="s">
        <v>54</v>
      </c>
    </row>
    <row r="15" customFormat="false" ht="15" hidden="false" customHeight="true" outlineLevel="0" collapsed="false">
      <c r="A15" s="4" t="s">
        <v>55</v>
      </c>
      <c r="B15" s="13" t="n">
        <v>5000</v>
      </c>
      <c r="C15" s="4" t="s">
        <v>35</v>
      </c>
      <c r="D15" s="4" t="s">
        <v>39</v>
      </c>
      <c r="E15" s="6" t="s">
        <v>56</v>
      </c>
    </row>
    <row r="17" customFormat="false" ht="15" hidden="false" customHeight="true" outlineLevel="0" collapsed="false">
      <c r="A17" s="11" t="s">
        <v>57</v>
      </c>
      <c r="B17" s="12"/>
      <c r="C17" s="12"/>
      <c r="D17" s="12"/>
      <c r="E17" s="12"/>
    </row>
    <row r="18" customFormat="false" ht="15" hidden="false" customHeight="true" outlineLevel="0" collapsed="false">
      <c r="A18" s="4" t="s">
        <v>58</v>
      </c>
      <c r="B18" s="16" t="n">
        <v>8000000</v>
      </c>
      <c r="C18" s="4" t="s">
        <v>59</v>
      </c>
      <c r="D18" s="4" t="s">
        <v>39</v>
      </c>
      <c r="E18" s="6" t="s">
        <v>60</v>
      </c>
    </row>
    <row r="19" customFormat="false" ht="15" hidden="false" customHeight="true" outlineLevel="0" collapsed="false">
      <c r="A19" s="4" t="s">
        <v>61</v>
      </c>
      <c r="B19" s="16" t="n">
        <v>850000</v>
      </c>
      <c r="C19" s="4" t="s">
        <v>59</v>
      </c>
      <c r="D19" s="4" t="s">
        <v>39</v>
      </c>
      <c r="E19" s="6" t="s">
        <v>62</v>
      </c>
    </row>
    <row r="20" customFormat="false" ht="15" hidden="false" customHeight="true" outlineLevel="0" collapsed="false">
      <c r="A20" s="4" t="s">
        <v>63</v>
      </c>
      <c r="B20" s="13" t="n">
        <v>18</v>
      </c>
      <c r="C20" s="4" t="s">
        <v>64</v>
      </c>
      <c r="D20" s="4" t="s">
        <v>39</v>
      </c>
      <c r="E20" s="6" t="s">
        <v>65</v>
      </c>
    </row>
    <row r="21" customFormat="false" ht="15" hidden="false" customHeight="true" outlineLevel="0" collapsed="false">
      <c r="A21" s="4" t="s">
        <v>66</v>
      </c>
      <c r="B21" s="13" t="n">
        <v>21</v>
      </c>
      <c r="C21" s="4" t="s">
        <v>64</v>
      </c>
      <c r="D21" s="4" t="s">
        <v>39</v>
      </c>
      <c r="E21" s="6" t="s">
        <v>67</v>
      </c>
    </row>
    <row r="23" customFormat="false" ht="15" hidden="false" customHeight="true" outlineLevel="0" collapsed="false">
      <c r="A23" s="11" t="s">
        <v>68</v>
      </c>
      <c r="B23" s="12"/>
      <c r="C23" s="12"/>
      <c r="D23" s="12"/>
      <c r="E23" s="12"/>
    </row>
    <row r="24" customFormat="false" ht="15" hidden="false" customHeight="true" outlineLevel="0" collapsed="false">
      <c r="A24" s="4" t="s">
        <v>69</v>
      </c>
      <c r="B24" s="16" t="n">
        <v>105</v>
      </c>
      <c r="C24" s="4" t="s">
        <v>70</v>
      </c>
      <c r="D24" s="4" t="s">
        <v>39</v>
      </c>
      <c r="E24" s="6" t="s">
        <v>71</v>
      </c>
    </row>
    <row r="25" customFormat="false" ht="15" hidden="false" customHeight="true" outlineLevel="0" collapsed="false">
      <c r="A25" s="4" t="s">
        <v>72</v>
      </c>
      <c r="B25" s="16" t="n">
        <v>310</v>
      </c>
      <c r="C25" s="4" t="s">
        <v>70</v>
      </c>
      <c r="D25" s="4" t="s">
        <v>39</v>
      </c>
      <c r="E25" s="6" t="s">
        <v>73</v>
      </c>
    </row>
    <row r="26" customFormat="false" ht="15" hidden="false" customHeight="true" outlineLevel="0" collapsed="false">
      <c r="A26" s="4" t="s">
        <v>74</v>
      </c>
      <c r="B26" s="13" t="n">
        <v>75</v>
      </c>
      <c r="C26" s="4" t="s">
        <v>75</v>
      </c>
      <c r="D26" s="4" t="s">
        <v>39</v>
      </c>
      <c r="E26" s="6" t="s">
        <v>76</v>
      </c>
    </row>
    <row r="27" customFormat="false" ht="15" hidden="false" customHeight="true" outlineLevel="0" collapsed="false">
      <c r="A27" s="4" t="s">
        <v>77</v>
      </c>
      <c r="B27" s="16" t="n">
        <v>150</v>
      </c>
      <c r="C27" s="4" t="s">
        <v>70</v>
      </c>
      <c r="D27" s="4" t="s">
        <v>39</v>
      </c>
      <c r="E27" s="6" t="s">
        <v>78</v>
      </c>
    </row>
    <row r="28" customFormat="false" ht="15" hidden="false" customHeight="true" outlineLevel="0" collapsed="false">
      <c r="A28" s="4" t="s">
        <v>79</v>
      </c>
      <c r="B28" s="16" t="n">
        <v>400</v>
      </c>
      <c r="C28" s="4" t="s">
        <v>80</v>
      </c>
      <c r="D28" s="4" t="s">
        <v>39</v>
      </c>
      <c r="E28" s="6" t="s">
        <v>81</v>
      </c>
    </row>
    <row r="29" customFormat="false" ht="15" hidden="false" customHeight="true" outlineLevel="0" collapsed="false">
      <c r="A29" s="4" t="s">
        <v>82</v>
      </c>
      <c r="B29" s="13" t="n">
        <v>32</v>
      </c>
      <c r="C29" s="4" t="s">
        <v>83</v>
      </c>
      <c r="D29" s="4" t="s">
        <v>39</v>
      </c>
      <c r="E29" s="6" t="s">
        <v>84</v>
      </c>
    </row>
    <row r="30" customFormat="false" ht="15" hidden="false" customHeight="true" outlineLevel="0" collapsed="false">
      <c r="A30" s="4" t="s">
        <v>85</v>
      </c>
      <c r="B30" s="16" t="n">
        <v>8000</v>
      </c>
      <c r="C30" s="4" t="s">
        <v>86</v>
      </c>
      <c r="D30" s="4" t="s">
        <v>39</v>
      </c>
      <c r="E30" s="6" t="s">
        <v>87</v>
      </c>
    </row>
    <row r="31" customFormat="false" ht="15" hidden="false" customHeight="true" outlineLevel="0" collapsed="false">
      <c r="A31" s="4" t="s">
        <v>88</v>
      </c>
      <c r="B31" s="13" t="n">
        <v>8</v>
      </c>
      <c r="C31" s="4" t="s">
        <v>89</v>
      </c>
      <c r="D31" s="4" t="s">
        <v>39</v>
      </c>
      <c r="E31" s="6" t="s">
        <v>90</v>
      </c>
    </row>
    <row r="32" customFormat="false" ht="15" hidden="false" customHeight="true" outlineLevel="0" collapsed="false">
      <c r="A32" s="4" t="s">
        <v>91</v>
      </c>
      <c r="B32" s="16" t="n">
        <v>130000</v>
      </c>
      <c r="C32" s="4" t="s">
        <v>92</v>
      </c>
      <c r="D32" s="4" t="s">
        <v>39</v>
      </c>
      <c r="E32" s="6" t="s">
        <v>93</v>
      </c>
    </row>
    <row r="33" customFormat="false" ht="15" hidden="false" customHeight="true" outlineLevel="0" collapsed="false">
      <c r="A33" s="4" t="s">
        <v>94</v>
      </c>
      <c r="B33" s="16" t="n">
        <v>750000</v>
      </c>
      <c r="C33" s="4" t="s">
        <v>59</v>
      </c>
      <c r="D33" s="4" t="s">
        <v>39</v>
      </c>
      <c r="E33" s="6" t="s">
        <v>95</v>
      </c>
    </row>
    <row r="34" customFormat="false" ht="15" hidden="false" customHeight="true" outlineLevel="0" collapsed="false">
      <c r="A34" s="4" t="s">
        <v>96</v>
      </c>
      <c r="B34" s="17" t="n">
        <v>600000</v>
      </c>
      <c r="C34" s="4" t="s">
        <v>59</v>
      </c>
      <c r="D34" s="4" t="s">
        <v>97</v>
      </c>
      <c r="E34" s="6" t="s">
        <v>98</v>
      </c>
    </row>
    <row r="35" customFormat="false" ht="15" hidden="false" customHeight="true" outlineLevel="0" collapsed="false">
      <c r="A35" s="4" t="s">
        <v>99</v>
      </c>
      <c r="B35" s="13" t="n">
        <v>300</v>
      </c>
      <c r="C35" s="4" t="s">
        <v>100</v>
      </c>
      <c r="D35" s="4" t="s">
        <v>39</v>
      </c>
      <c r="E35" s="6" t="s">
        <v>101</v>
      </c>
    </row>
    <row r="36" customFormat="false" ht="15" hidden="false" customHeight="true" outlineLevel="0" collapsed="false">
      <c r="A36" s="4" t="s">
        <v>102</v>
      </c>
      <c r="B36" s="13" t="n">
        <v>340</v>
      </c>
      <c r="C36" s="4" t="s">
        <v>100</v>
      </c>
      <c r="D36" s="4" t="s">
        <v>39</v>
      </c>
      <c r="E36" s="6" t="s">
        <v>103</v>
      </c>
    </row>
    <row r="37" customFormat="false" ht="15" hidden="false" customHeight="true" outlineLevel="0" collapsed="false">
      <c r="A37" s="4" t="s">
        <v>104</v>
      </c>
      <c r="B37" s="18" t="n">
        <v>2.6</v>
      </c>
      <c r="C37" s="4" t="s">
        <v>105</v>
      </c>
      <c r="D37" s="4" t="s">
        <v>39</v>
      </c>
      <c r="E37" s="6" t="s">
        <v>106</v>
      </c>
    </row>
    <row r="38" customFormat="false" ht="15" hidden="false" customHeight="true" outlineLevel="0" collapsed="false">
      <c r="A38" s="4" t="s">
        <v>107</v>
      </c>
      <c r="B38" s="15" t="n">
        <v>0.3</v>
      </c>
      <c r="C38" s="4" t="s">
        <v>45</v>
      </c>
      <c r="D38" s="4" t="s">
        <v>39</v>
      </c>
      <c r="E38" s="6" t="s">
        <v>108</v>
      </c>
    </row>
    <row r="39" customFormat="false" ht="15" hidden="false" customHeight="true" outlineLevel="0" collapsed="false">
      <c r="A39" s="4" t="s">
        <v>109</v>
      </c>
      <c r="B39" s="13" t="n">
        <v>600</v>
      </c>
      <c r="C39" s="4" t="s">
        <v>110</v>
      </c>
      <c r="D39" s="4" t="s">
        <v>39</v>
      </c>
      <c r="E39" s="6" t="s">
        <v>111</v>
      </c>
    </row>
    <row r="40" customFormat="false" ht="15" hidden="false" customHeight="true" outlineLevel="0" collapsed="false">
      <c r="A40" s="4" t="s">
        <v>112</v>
      </c>
      <c r="B40" s="16" t="n">
        <v>520</v>
      </c>
      <c r="C40" s="4" t="s">
        <v>113</v>
      </c>
      <c r="D40" s="4" t="s">
        <v>39</v>
      </c>
      <c r="E40" s="6" t="s">
        <v>114</v>
      </c>
    </row>
    <row r="41" customFormat="false" ht="15" hidden="false" customHeight="true" outlineLevel="0" collapsed="false">
      <c r="A41" s="4" t="s">
        <v>115</v>
      </c>
      <c r="B41" s="17" t="n">
        <v>450000</v>
      </c>
      <c r="C41" s="4" t="s">
        <v>59</v>
      </c>
      <c r="D41" s="4" t="s">
        <v>97</v>
      </c>
      <c r="E41" s="6" t="s">
        <v>116</v>
      </c>
    </row>
    <row r="42" customFormat="false" ht="15" hidden="false" customHeight="true" outlineLevel="0" collapsed="false">
      <c r="A42" s="4" t="s">
        <v>117</v>
      </c>
      <c r="B42" s="17" t="n">
        <v>175000</v>
      </c>
      <c r="C42" s="4" t="s">
        <v>59</v>
      </c>
      <c r="D42" s="4" t="s">
        <v>97</v>
      </c>
      <c r="E42" s="6" t="s">
        <v>118</v>
      </c>
    </row>
    <row r="44" customFormat="false" ht="15" hidden="false" customHeight="true" outlineLevel="0" collapsed="false">
      <c r="A44" s="11" t="s">
        <v>119</v>
      </c>
      <c r="B44" s="12"/>
      <c r="C44" s="12"/>
      <c r="D44" s="12"/>
      <c r="E44" s="12"/>
    </row>
    <row r="45" customFormat="false" ht="15" hidden="false" customHeight="true" outlineLevel="0" collapsed="false">
      <c r="A45" s="4" t="s">
        <v>120</v>
      </c>
      <c r="B45" s="15" t="n">
        <v>0.18</v>
      </c>
      <c r="C45" s="4" t="s">
        <v>45</v>
      </c>
      <c r="D45" s="4" t="s">
        <v>39</v>
      </c>
      <c r="E45" s="6" t="s">
        <v>121</v>
      </c>
    </row>
    <row r="46" customFormat="false" ht="15" hidden="false" customHeight="true" outlineLevel="0" collapsed="false">
      <c r="A46" s="4" t="s">
        <v>122</v>
      </c>
      <c r="B46" s="15" t="n">
        <v>0.075</v>
      </c>
      <c r="C46" s="4" t="s">
        <v>45</v>
      </c>
      <c r="D46" s="4" t="s">
        <v>39</v>
      </c>
      <c r="E46" s="6" t="s">
        <v>123</v>
      </c>
    </row>
    <row r="47" customFormat="false" ht="15" hidden="false" customHeight="true" outlineLevel="0" collapsed="false">
      <c r="A47" s="4" t="s">
        <v>124</v>
      </c>
      <c r="B47" s="15" t="n">
        <v>0.04</v>
      </c>
      <c r="C47" s="4" t="s">
        <v>45</v>
      </c>
      <c r="D47" s="4" t="s">
        <v>39</v>
      </c>
      <c r="E47" s="6" t="s">
        <v>125</v>
      </c>
    </row>
    <row r="48" customFormat="false" ht="15" hidden="false" customHeight="true" outlineLevel="0" collapsed="false">
      <c r="A48" s="4" t="s">
        <v>126</v>
      </c>
      <c r="B48" s="15" t="n">
        <v>0.65</v>
      </c>
      <c r="C48" s="4" t="s">
        <v>45</v>
      </c>
      <c r="D48" s="4" t="s">
        <v>39</v>
      </c>
      <c r="E48" s="6" t="s">
        <v>127</v>
      </c>
    </row>
    <row r="49" customFormat="false" ht="15" hidden="false" customHeight="true" outlineLevel="0" collapsed="false">
      <c r="A49" s="4" t="s">
        <v>128</v>
      </c>
      <c r="B49" s="15" t="n">
        <v>0.075</v>
      </c>
      <c r="C49" s="4" t="s">
        <v>45</v>
      </c>
      <c r="D49" s="4" t="s">
        <v>39</v>
      </c>
      <c r="E49" s="6" t="s">
        <v>129</v>
      </c>
    </row>
    <row r="50" customFormat="false" ht="15" hidden="false" customHeight="true" outlineLevel="0" collapsed="false">
      <c r="A50" s="4" t="s">
        <v>130</v>
      </c>
      <c r="B50" s="15" t="n">
        <v>0.55</v>
      </c>
      <c r="C50" s="4" t="s">
        <v>45</v>
      </c>
      <c r="D50" s="4" t="s">
        <v>39</v>
      </c>
      <c r="E50" s="6" t="s">
        <v>131</v>
      </c>
    </row>
    <row r="52" customFormat="false" ht="15" hidden="false" customHeight="true" outlineLevel="0" collapsed="false">
      <c r="A52" s="11" t="s">
        <v>132</v>
      </c>
      <c r="B52" s="12"/>
      <c r="C52" s="12"/>
      <c r="D52" s="12"/>
      <c r="E52" s="12"/>
    </row>
    <row r="53" customFormat="false" ht="15" hidden="false" customHeight="true" outlineLevel="0" collapsed="false">
      <c r="A53" s="4" t="s">
        <v>133</v>
      </c>
      <c r="B53" s="16" t="n">
        <v>36</v>
      </c>
      <c r="C53" s="4" t="s">
        <v>134</v>
      </c>
      <c r="D53" s="14" t="s">
        <v>36</v>
      </c>
      <c r="E53" s="6" t="s">
        <v>135</v>
      </c>
    </row>
    <row r="54" customFormat="false" ht="15" hidden="false" customHeight="true" outlineLevel="0" collapsed="false">
      <c r="A54" s="4" t="s">
        <v>136</v>
      </c>
      <c r="B54" s="15" t="n">
        <v>0.07</v>
      </c>
      <c r="C54" s="4" t="s">
        <v>45</v>
      </c>
      <c r="D54" s="4" t="s">
        <v>39</v>
      </c>
      <c r="E54" s="6" t="s">
        <v>137</v>
      </c>
    </row>
    <row r="55" customFormat="false" ht="15" hidden="false" customHeight="true" outlineLevel="0" collapsed="false">
      <c r="A55" s="4" t="s">
        <v>138</v>
      </c>
      <c r="B55" s="16" t="n">
        <v>42</v>
      </c>
      <c r="C55" s="4" t="s">
        <v>139</v>
      </c>
      <c r="D55" s="4" t="s">
        <v>39</v>
      </c>
      <c r="E55" s="6" t="s">
        <v>140</v>
      </c>
    </row>
    <row r="56" customFormat="false" ht="15" hidden="false" customHeight="true" outlineLevel="0" collapsed="false">
      <c r="A56" s="4" t="s">
        <v>141</v>
      </c>
      <c r="B56" s="16" t="n">
        <v>2400</v>
      </c>
      <c r="C56" s="4" t="s">
        <v>142</v>
      </c>
      <c r="D56" s="4" t="s">
        <v>39</v>
      </c>
      <c r="E56" s="6" t="s">
        <v>143</v>
      </c>
    </row>
    <row r="57" customFormat="false" ht="15" hidden="false" customHeight="true" outlineLevel="0" collapsed="false">
      <c r="A57" s="4" t="s">
        <v>144</v>
      </c>
      <c r="B57" s="15" t="n">
        <v>0.3</v>
      </c>
      <c r="C57" s="4" t="s">
        <v>45</v>
      </c>
      <c r="D57" s="4" t="s">
        <v>39</v>
      </c>
      <c r="E57" s="6" t="s">
        <v>145</v>
      </c>
    </row>
    <row r="58" customFormat="false" ht="15" hidden="false" customHeight="true" outlineLevel="0" collapsed="false">
      <c r="A58" s="4" t="s">
        <v>146</v>
      </c>
      <c r="B58" s="19" t="n">
        <v>120000</v>
      </c>
      <c r="C58" s="4" t="s">
        <v>147</v>
      </c>
      <c r="D58" s="4" t="s">
        <v>97</v>
      </c>
      <c r="E58" s="6" t="s">
        <v>148</v>
      </c>
    </row>
    <row r="59" customFormat="false" ht="15" hidden="false" customHeight="true" outlineLevel="0" collapsed="false">
      <c r="A59" s="4" t="s">
        <v>149</v>
      </c>
      <c r="B59" s="13" t="n">
        <v>1450</v>
      </c>
      <c r="C59" s="4" t="s">
        <v>150</v>
      </c>
      <c r="D59" s="4" t="s">
        <v>39</v>
      </c>
      <c r="E59" s="6" t="s">
        <v>151</v>
      </c>
    </row>
    <row r="60" customFormat="false" ht="15" hidden="false" customHeight="true" outlineLevel="0" collapsed="false">
      <c r="A60" s="4" t="s">
        <v>152</v>
      </c>
      <c r="B60" s="18" t="n">
        <v>0.13</v>
      </c>
      <c r="C60" s="4" t="s">
        <v>113</v>
      </c>
      <c r="D60" s="4" t="s">
        <v>39</v>
      </c>
      <c r="E60" s="6" t="s">
        <v>153</v>
      </c>
    </row>
    <row r="61" customFormat="false" ht="15" hidden="false" customHeight="true" outlineLevel="0" collapsed="false">
      <c r="A61" s="4" t="s">
        <v>154</v>
      </c>
      <c r="B61" s="19" t="n">
        <v>30000</v>
      </c>
      <c r="C61" s="4" t="s">
        <v>147</v>
      </c>
      <c r="D61" s="4" t="s">
        <v>155</v>
      </c>
      <c r="E61" s="6" t="s">
        <v>156</v>
      </c>
    </row>
    <row r="62" customFormat="false" ht="15" hidden="false" customHeight="true" outlineLevel="0" collapsed="false">
      <c r="A62" s="4" t="s">
        <v>157</v>
      </c>
      <c r="B62" s="17" t="n">
        <v>25</v>
      </c>
      <c r="C62" s="4" t="s">
        <v>139</v>
      </c>
      <c r="D62" s="4" t="s">
        <v>155</v>
      </c>
      <c r="E62" s="6" t="s">
        <v>158</v>
      </c>
    </row>
    <row r="63" customFormat="false" ht="15" hidden="false" customHeight="true" outlineLevel="0" collapsed="false">
      <c r="A63" s="4" t="s">
        <v>159</v>
      </c>
      <c r="B63" s="19" t="n">
        <v>0</v>
      </c>
      <c r="C63" s="4" t="s">
        <v>160</v>
      </c>
      <c r="D63" s="4" t="s">
        <v>97</v>
      </c>
      <c r="E63" s="6" t="s">
        <v>161</v>
      </c>
    </row>
    <row r="64" customFormat="false" ht="15" hidden="false" customHeight="true" outlineLevel="0" collapsed="false">
      <c r="A64" s="4" t="s">
        <v>162</v>
      </c>
      <c r="B64" s="15" t="n">
        <v>0.03</v>
      </c>
      <c r="C64" s="4" t="s">
        <v>45</v>
      </c>
      <c r="D64" s="4" t="s">
        <v>39</v>
      </c>
      <c r="E64" s="6" t="s">
        <v>163</v>
      </c>
    </row>
    <row r="65" customFormat="false" ht="15" hidden="false" customHeight="true" outlineLevel="0" collapsed="false">
      <c r="A65" s="4" t="s">
        <v>164</v>
      </c>
      <c r="B65" s="18" t="n">
        <v>1.5</v>
      </c>
      <c r="C65" s="4" t="s">
        <v>165</v>
      </c>
      <c r="D65" s="4" t="s">
        <v>39</v>
      </c>
      <c r="E65" s="6" t="s">
        <v>166</v>
      </c>
    </row>
    <row r="67" customFormat="false" ht="15" hidden="false" customHeight="true" outlineLevel="0" collapsed="false">
      <c r="A67" s="11" t="s">
        <v>167</v>
      </c>
      <c r="B67" s="12"/>
      <c r="C67" s="12"/>
      <c r="D67" s="12"/>
      <c r="E67" s="12"/>
    </row>
    <row r="68" customFormat="false" ht="15" hidden="false" customHeight="true" outlineLevel="0" collapsed="false">
      <c r="A68" s="4" t="s">
        <v>168</v>
      </c>
      <c r="B68" s="18" t="n">
        <v>0.025</v>
      </c>
      <c r="C68" s="4" t="s">
        <v>169</v>
      </c>
      <c r="D68" s="4" t="s">
        <v>39</v>
      </c>
      <c r="E68" s="6" t="s">
        <v>170</v>
      </c>
    </row>
    <row r="69" customFormat="false" ht="15" hidden="false" customHeight="true" outlineLevel="0" collapsed="false">
      <c r="A69" s="4" t="s">
        <v>171</v>
      </c>
      <c r="B69" s="15" t="n">
        <v>0.0625</v>
      </c>
      <c r="C69" s="4" t="s">
        <v>45</v>
      </c>
      <c r="D69" s="4" t="s">
        <v>39</v>
      </c>
      <c r="E69" s="6" t="s">
        <v>172</v>
      </c>
    </row>
    <row r="70" customFormat="false" ht="15" hidden="false" customHeight="true" outlineLevel="0" collapsed="false">
      <c r="A70" s="4" t="s">
        <v>173</v>
      </c>
      <c r="B70" s="15" t="n">
        <v>0.02</v>
      </c>
      <c r="C70" s="4" t="s">
        <v>45</v>
      </c>
      <c r="D70" s="4" t="s">
        <v>39</v>
      </c>
      <c r="E70" s="6" t="s">
        <v>174</v>
      </c>
    </row>
    <row r="71" customFormat="false" ht="15" hidden="false" customHeight="true" outlineLevel="0" collapsed="false">
      <c r="A71" s="4" t="s">
        <v>175</v>
      </c>
      <c r="B71" s="13" t="n">
        <v>10</v>
      </c>
      <c r="C71" s="4" t="s">
        <v>176</v>
      </c>
      <c r="D71" s="4" t="s">
        <v>39</v>
      </c>
      <c r="E71" s="6" t="s">
        <v>177</v>
      </c>
    </row>
    <row r="72" customFormat="false" ht="15" hidden="false" customHeight="true" outlineLevel="0" collapsed="false">
      <c r="A72" s="4" t="s">
        <v>178</v>
      </c>
      <c r="B72" s="15" t="n">
        <v>0.5</v>
      </c>
      <c r="C72" s="4" t="s">
        <v>45</v>
      </c>
      <c r="D72" s="4" t="s">
        <v>39</v>
      </c>
      <c r="E72" s="6" t="s">
        <v>179</v>
      </c>
    </row>
    <row r="73" customFormat="false" ht="15" hidden="false" customHeight="true" outlineLevel="0" collapsed="false">
      <c r="A73" s="4" t="s">
        <v>180</v>
      </c>
      <c r="B73" s="15" t="n">
        <v>0.9</v>
      </c>
      <c r="C73" s="4" t="s">
        <v>45</v>
      </c>
      <c r="D73" s="4" t="s">
        <v>39</v>
      </c>
      <c r="E73" s="6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6"/>
    <col collapsed="false" customWidth="true" hidden="false" outlineLevel="0" max="4" min="4" style="1" width="52"/>
  </cols>
  <sheetData>
    <row r="1" customFormat="false" ht="17.25" hidden="false" customHeight="true" outlineLevel="0" collapsed="false">
      <c r="A1" s="2" t="s">
        <v>182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183</v>
      </c>
    </row>
    <row r="4" customFormat="false" ht="15" hidden="false" customHeight="true" outlineLevel="0" collapsed="false">
      <c r="A4" s="4" t="s">
        <v>184</v>
      </c>
      <c r="B4" s="13" t="n">
        <v>6</v>
      </c>
      <c r="C4" s="13" t="n">
        <v>8</v>
      </c>
      <c r="D4" s="6" t="s">
        <v>185</v>
      </c>
    </row>
    <row r="5" customFormat="false" ht="15" hidden="false" customHeight="true" outlineLevel="0" collapsed="false">
      <c r="A5" s="4" t="s">
        <v>186</v>
      </c>
      <c r="B5" s="13" t="n">
        <v>3</v>
      </c>
      <c r="C5" s="13" t="n">
        <v>4</v>
      </c>
      <c r="D5" s="6" t="s">
        <v>187</v>
      </c>
    </row>
    <row r="6" customFormat="false" ht="15" hidden="false" customHeight="true" outlineLevel="0" collapsed="false">
      <c r="A6" s="4" t="s">
        <v>188</v>
      </c>
      <c r="B6" s="13" t="n">
        <v>2</v>
      </c>
      <c r="C6" s="13" t="n">
        <v>3</v>
      </c>
      <c r="D6" s="6" t="s">
        <v>189</v>
      </c>
    </row>
    <row r="7" customFormat="false" ht="15" hidden="false" customHeight="true" outlineLevel="0" collapsed="false">
      <c r="A7" s="4" t="s">
        <v>190</v>
      </c>
      <c r="B7" s="5" t="n">
        <f aca="false">Assumptions!$B$8</f>
        <v>35000</v>
      </c>
      <c r="C7" s="5" t="n">
        <f aca="false">Assumptions!$B$8</f>
        <v>35000</v>
      </c>
      <c r="D7" s="6"/>
    </row>
    <row r="8" customFormat="false" ht="15" hidden="false" customHeight="true" outlineLevel="0" collapsed="false">
      <c r="A8" s="4" t="s">
        <v>191</v>
      </c>
      <c r="B8" s="5" t="n">
        <f aca="false">Assumptions!$B$12</f>
        <v>12000</v>
      </c>
      <c r="C8" s="5" t="n">
        <f aca="false">Assumptions!$B$12</f>
        <v>12000</v>
      </c>
      <c r="D8" s="6" t="s">
        <v>192</v>
      </c>
    </row>
    <row r="9" customFormat="false" ht="15" hidden="false" customHeight="true" outlineLevel="0" collapsed="false">
      <c r="A9" s="4" t="s">
        <v>193</v>
      </c>
      <c r="B9" s="5" t="n">
        <f aca="false">Assumptions!$B$11</f>
        <v>4500</v>
      </c>
      <c r="C9" s="5" t="n">
        <f aca="false">Assumptions!$B$11</f>
        <v>4500</v>
      </c>
      <c r="D9" s="6" t="s">
        <v>194</v>
      </c>
    </row>
    <row r="10" customFormat="false" ht="15" hidden="false" customHeight="true" outlineLevel="0" collapsed="false">
      <c r="A10" s="4" t="s">
        <v>195</v>
      </c>
      <c r="B10" s="5" t="n">
        <f aca="false">Assumptions!$B$13</f>
        <v>4500</v>
      </c>
      <c r="C10" s="5" t="n">
        <f aca="false">Assumptions!$B$13</f>
        <v>4500</v>
      </c>
      <c r="D10" s="6"/>
    </row>
    <row r="11" customFormat="false" ht="15" hidden="false" customHeight="true" outlineLevel="0" collapsed="false">
      <c r="A11" s="4" t="s">
        <v>196</v>
      </c>
      <c r="B11" s="5" t="n">
        <f aca="false">B7-B8-B9-B10</f>
        <v>14000</v>
      </c>
      <c r="C11" s="5" t="n">
        <f aca="false">C7-C8-C9-C10</f>
        <v>14000</v>
      </c>
      <c r="D11" s="6" t="s">
        <v>197</v>
      </c>
    </row>
    <row r="12" customFormat="false" ht="15" hidden="false" customHeight="true" outlineLevel="0" collapsed="false">
      <c r="A12" s="4" t="s">
        <v>198</v>
      </c>
      <c r="B12" s="5" t="n">
        <f aca="false">B5*B7</f>
        <v>105000</v>
      </c>
      <c r="C12" s="5" t="n">
        <f aca="false">C5*C7</f>
        <v>140000</v>
      </c>
      <c r="D12" s="6" t="s">
        <v>199</v>
      </c>
    </row>
    <row r="13" customFormat="false" ht="15" hidden="false" customHeight="true" outlineLevel="0" collapsed="false">
      <c r="A13" s="4" t="s">
        <v>200</v>
      </c>
      <c r="B13" s="5" t="n">
        <f aca="false">B6*B7</f>
        <v>70000</v>
      </c>
      <c r="C13" s="5" t="n">
        <f aca="false">C6*C7</f>
        <v>105000</v>
      </c>
      <c r="D13" s="6" t="s">
        <v>201</v>
      </c>
    </row>
    <row r="14" customFormat="false" ht="15" hidden="false" customHeight="true" outlineLevel="0" collapsed="false">
      <c r="A14" s="4" t="s">
        <v>202</v>
      </c>
      <c r="B14" s="5" t="n">
        <f aca="false">B13*Assumptions!$B$10</f>
        <v>59500</v>
      </c>
      <c r="C14" s="5" t="n">
        <f aca="false">C13*Assumptions!$B$10</f>
        <v>89250</v>
      </c>
      <c r="D14" s="6" t="s">
        <v>203</v>
      </c>
    </row>
    <row r="15" customFormat="false" ht="15" hidden="false" customHeight="true" outlineLevel="0" collapsed="false">
      <c r="A15" s="4" t="s">
        <v>5</v>
      </c>
      <c r="B15" s="5" t="n">
        <f aca="false">B7+B12+B13</f>
        <v>210000</v>
      </c>
      <c r="C15" s="5" t="n">
        <f aca="false">C7+C12+C13</f>
        <v>280000</v>
      </c>
      <c r="D15" s="6" t="s">
        <v>204</v>
      </c>
    </row>
    <row r="16" customFormat="false" ht="15" hidden="false" customHeight="true" outlineLevel="0" collapsed="false">
      <c r="A16" s="4" t="s">
        <v>205</v>
      </c>
      <c r="B16" s="5" t="n">
        <f aca="false">B12/Assumptions!$B$9</f>
        <v>300</v>
      </c>
      <c r="C16" s="5" t="n">
        <f aca="false">C12/Assumptions!$B$9</f>
        <v>400</v>
      </c>
      <c r="D16" s="6" t="s">
        <v>206</v>
      </c>
    </row>
    <row r="17" customFormat="false" ht="15" hidden="false" customHeight="true" outlineLevel="0" collapsed="false">
      <c r="A17" s="4" t="s">
        <v>207</v>
      </c>
      <c r="B17" s="5" t="n">
        <f aca="false">B11/Assumptions!$B$9</f>
        <v>40</v>
      </c>
      <c r="C17" s="5" t="n">
        <f aca="false">C11/Assumptions!$B$9</f>
        <v>40</v>
      </c>
      <c r="D17" s="6" t="s">
        <v>208</v>
      </c>
    </row>
    <row r="18" customFormat="false" ht="15" hidden="false" customHeight="true" outlineLevel="0" collapsed="false">
      <c r="A18" s="4" t="s">
        <v>209</v>
      </c>
      <c r="B18" s="5" t="n">
        <f aca="false">B16+B17</f>
        <v>340</v>
      </c>
      <c r="C18" s="5" t="n">
        <f aca="false">C16+C17</f>
        <v>440</v>
      </c>
      <c r="D18" s="6"/>
    </row>
    <row r="19" customFormat="false" ht="15" hidden="false" customHeight="true" outlineLevel="0" collapsed="false">
      <c r="A19" s="4" t="s">
        <v>210</v>
      </c>
      <c r="B19" s="20" t="n">
        <f aca="false">B18/(B14/1000)</f>
        <v>5.71428571428571</v>
      </c>
      <c r="C19" s="20" t="n">
        <f aca="false">C18/(C14/1000)</f>
        <v>4.92997198879552</v>
      </c>
      <c r="D19" s="6" t="s">
        <v>211</v>
      </c>
    </row>
    <row r="20" customFormat="false" ht="15" hidden="false" customHeight="true" outlineLevel="0" collapsed="false">
      <c r="A20" s="4" t="s">
        <v>212</v>
      </c>
      <c r="B20" s="5" t="n">
        <f aca="false">Assumptions!$B$29+Assumptions!$B$31</f>
        <v>40</v>
      </c>
      <c r="C20" s="5" t="n">
        <f aca="false">Assumptions!$B$29+Assumptions!$B$31</f>
        <v>40</v>
      </c>
      <c r="D20" s="6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  <col collapsed="false" customWidth="true" hidden="false" outlineLevel="0" max="4" min="4" style="1" width="54"/>
  </cols>
  <sheetData>
    <row r="1" customFormat="false" ht="17.25" hidden="false" customHeight="true" outlineLevel="0" collapsed="false">
      <c r="A1" s="2" t="s">
        <v>214</v>
      </c>
    </row>
    <row r="3" customFormat="false" ht="15" hidden="false" customHeight="true" outlineLevel="0" collapsed="false">
      <c r="A3" s="3" t="s">
        <v>215</v>
      </c>
      <c r="B3" s="3" t="s">
        <v>2</v>
      </c>
      <c r="C3" s="3" t="s">
        <v>3</v>
      </c>
      <c r="D3" s="3" t="s">
        <v>216</v>
      </c>
    </row>
    <row r="4" customFormat="false" ht="15" hidden="false" customHeight="true" outlineLevel="0" collapsed="false">
      <c r="A4" s="4" t="s">
        <v>217</v>
      </c>
      <c r="B4" s="7" t="n">
        <f aca="false">Assumptions!$B$18</f>
        <v>8000000</v>
      </c>
      <c r="C4" s="7" t="n">
        <f aca="false">Assumptions!$B$18</f>
        <v>8000000</v>
      </c>
      <c r="D4" s="6" t="s">
        <v>218</v>
      </c>
    </row>
    <row r="5" customFormat="false" ht="15" hidden="false" customHeight="true" outlineLevel="0" collapsed="false">
      <c r="A5" s="4" t="s">
        <v>61</v>
      </c>
      <c r="B5" s="7" t="n">
        <f aca="false">Assumptions!$B$19</f>
        <v>850000</v>
      </c>
      <c r="C5" s="7" t="n">
        <f aca="false">Assumptions!$B$19</f>
        <v>850000</v>
      </c>
      <c r="D5" s="6"/>
    </row>
    <row r="6" customFormat="false" ht="15" hidden="false" customHeight="true" outlineLevel="0" collapsed="false">
      <c r="A6" s="4" t="s">
        <v>219</v>
      </c>
      <c r="B6" s="7" t="n">
        <f aca="false">(Program!B7+Program!B12)*Assumptions!$B$24</f>
        <v>14700000</v>
      </c>
      <c r="C6" s="7" t="n">
        <f aca="false">(Program!C7+Program!C12)*Assumptions!$B$24</f>
        <v>18375000</v>
      </c>
      <c r="D6" s="6" t="s">
        <v>220</v>
      </c>
    </row>
    <row r="7" customFormat="false" ht="15" hidden="false" customHeight="true" outlineLevel="0" collapsed="false">
      <c r="A7" s="4" t="s">
        <v>221</v>
      </c>
      <c r="B7" s="7" t="n">
        <f aca="false">Program!B13*Assumptions!$B$25</f>
        <v>21700000</v>
      </c>
      <c r="C7" s="7" t="n">
        <f aca="false">Program!C13*Assumptions!$B$25</f>
        <v>32550000</v>
      </c>
      <c r="D7" s="6" t="s">
        <v>222</v>
      </c>
    </row>
    <row r="8" customFormat="false" ht="15" hidden="false" customHeight="true" outlineLevel="0" collapsed="false">
      <c r="A8" s="4" t="s">
        <v>74</v>
      </c>
      <c r="B8" s="7" t="n">
        <f aca="false">Program!B14*Assumptions!$B$26</f>
        <v>4462500</v>
      </c>
      <c r="C8" s="7" t="n">
        <f aca="false">Program!C14*Assumptions!$B$26</f>
        <v>6693750</v>
      </c>
      <c r="D8" s="6" t="s">
        <v>223</v>
      </c>
    </row>
    <row r="9" customFormat="false" ht="15" hidden="false" customHeight="true" outlineLevel="0" collapsed="false">
      <c r="A9" s="4" t="s">
        <v>224</v>
      </c>
      <c r="B9" s="7" t="n">
        <f aca="false">Assumptions!$B$11*Assumptions!$B$27</f>
        <v>675000</v>
      </c>
      <c r="C9" s="7" t="n">
        <f aca="false">Assumptions!$B$11*Assumptions!$B$27</f>
        <v>675000</v>
      </c>
      <c r="D9" s="6" t="s">
        <v>225</v>
      </c>
    </row>
    <row r="10" customFormat="false" ht="15" hidden="false" customHeight="true" outlineLevel="0" collapsed="false">
      <c r="A10" s="4" t="s">
        <v>226</v>
      </c>
      <c r="B10" s="7" t="n">
        <f aca="false">Program!B18*Assumptions!$B$28</f>
        <v>136000</v>
      </c>
      <c r="C10" s="7" t="n">
        <f aca="false">Program!C18*Assumptions!$B$28</f>
        <v>176000</v>
      </c>
      <c r="D10" s="6" t="s">
        <v>227</v>
      </c>
    </row>
    <row r="11" customFormat="false" ht="15" hidden="false" customHeight="true" outlineLevel="0" collapsed="false">
      <c r="A11" s="4" t="s">
        <v>228</v>
      </c>
      <c r="B11" s="7" t="n">
        <f aca="false">Assumptions!$B$29*Assumptions!$B$30</f>
        <v>256000</v>
      </c>
      <c r="C11" s="7" t="n">
        <f aca="false">Assumptions!$B$29*Assumptions!$B$30</f>
        <v>256000</v>
      </c>
      <c r="D11" s="6" t="s">
        <v>229</v>
      </c>
    </row>
    <row r="12" customFormat="false" ht="15" hidden="false" customHeight="true" outlineLevel="0" collapsed="false">
      <c r="A12" s="4" t="s">
        <v>230</v>
      </c>
      <c r="B12" s="7" t="n">
        <f aca="false">Assumptions!$B$31*Assumptions!$B$32</f>
        <v>1040000</v>
      </c>
      <c r="C12" s="7" t="n">
        <f aca="false">Assumptions!$B$31*Assumptions!$B$32</f>
        <v>1040000</v>
      </c>
      <c r="D12" s="6" t="s">
        <v>231</v>
      </c>
    </row>
    <row r="13" customFormat="false" ht="15" hidden="false" customHeight="true" outlineLevel="0" collapsed="false">
      <c r="A13" s="4" t="s">
        <v>232</v>
      </c>
      <c r="B13" s="7" t="n">
        <f aca="false">Assumptions!$B$33</f>
        <v>750000</v>
      </c>
      <c r="C13" s="7" t="n">
        <f aca="false">Assumptions!$B$33</f>
        <v>750000</v>
      </c>
      <c r="D13" s="6" t="s">
        <v>233</v>
      </c>
    </row>
    <row r="14" customFormat="false" ht="15" hidden="false" customHeight="true" outlineLevel="0" collapsed="false">
      <c r="A14" s="4" t="s">
        <v>234</v>
      </c>
      <c r="B14" s="7" t="n">
        <f aca="false">Assumptions!$B$34</f>
        <v>600000</v>
      </c>
      <c r="C14" s="7" t="n">
        <f aca="false">Assumptions!$B$34</f>
        <v>600000</v>
      </c>
      <c r="D14" s="6" t="s">
        <v>235</v>
      </c>
    </row>
    <row r="15" customFormat="false" ht="15" hidden="false" customHeight="true" outlineLevel="0" collapsed="false">
      <c r="A15" s="4" t="s">
        <v>236</v>
      </c>
      <c r="B15" s="7" t="n">
        <f aca="false">Assumptions!$B$35*1000*Assumptions!$B$37*(1-Assumptions!$B$38)</f>
        <v>546000</v>
      </c>
      <c r="C15" s="7" t="n">
        <f aca="false">Assumptions!$B$36*1000*Assumptions!$B$37*(1-Assumptions!$B$38)</f>
        <v>618800</v>
      </c>
      <c r="D15" s="6" t="s">
        <v>237</v>
      </c>
    </row>
    <row r="16" customFormat="false" ht="15" hidden="false" customHeight="true" outlineLevel="0" collapsed="false">
      <c r="A16" s="4" t="s">
        <v>238</v>
      </c>
      <c r="B16" s="7" t="n">
        <f aca="false">Assumptions!$B$39*Assumptions!$B$40</f>
        <v>312000</v>
      </c>
      <c r="C16" s="7" t="n">
        <f aca="false">Assumptions!$B$39*Assumptions!$B$40</f>
        <v>312000</v>
      </c>
      <c r="D16" s="6" t="s">
        <v>239</v>
      </c>
    </row>
    <row r="17" customFormat="false" ht="15" hidden="false" customHeight="true" outlineLevel="0" collapsed="false">
      <c r="A17" s="4" t="s">
        <v>115</v>
      </c>
      <c r="B17" s="7" t="n">
        <f aca="false">Assumptions!$B$41</f>
        <v>450000</v>
      </c>
      <c r="C17" s="7" t="n">
        <f aca="false">Assumptions!$B$41</f>
        <v>450000</v>
      </c>
      <c r="D17" s="6" t="s">
        <v>240</v>
      </c>
    </row>
    <row r="18" customFormat="false" ht="15" hidden="false" customHeight="true" outlineLevel="0" collapsed="false">
      <c r="A18" s="4" t="s">
        <v>241</v>
      </c>
      <c r="B18" s="7" t="n">
        <f aca="false">Assumptions!$B$42</f>
        <v>175000</v>
      </c>
      <c r="C18" s="7" t="n">
        <f aca="false">Assumptions!$B$42</f>
        <v>175000</v>
      </c>
      <c r="D18" s="6" t="s">
        <v>242</v>
      </c>
    </row>
    <row r="19" customFormat="false" ht="15" hidden="false" customHeight="true" outlineLevel="0" collapsed="false">
      <c r="A19" s="21" t="s">
        <v>243</v>
      </c>
      <c r="B19" s="22" t="n">
        <f aca="false">SUM(B5:B18)</f>
        <v>46652500</v>
      </c>
      <c r="C19" s="22" t="n">
        <f aca="false">SUM(C5:C18)</f>
        <v>63521550</v>
      </c>
    </row>
    <row r="20" customFormat="false" ht="15" hidden="false" customHeight="true" outlineLevel="0" collapsed="false">
      <c r="A20" s="4" t="s">
        <v>244</v>
      </c>
      <c r="B20" s="7" t="n">
        <f aca="false">B19*Assumptions!$B$45</f>
        <v>8397450</v>
      </c>
      <c r="C20" s="7" t="n">
        <f aca="false">C19*Assumptions!$B$45</f>
        <v>11433879</v>
      </c>
    </row>
    <row r="21" customFormat="false" ht="15" hidden="false" customHeight="true" outlineLevel="0" collapsed="false">
      <c r="A21" s="4" t="s">
        <v>245</v>
      </c>
      <c r="B21" s="7" t="n">
        <f aca="false">B19*Assumptions!$B$46</f>
        <v>3498937.5</v>
      </c>
      <c r="C21" s="7" t="n">
        <f aca="false">C19*Assumptions!$B$46</f>
        <v>4764116.25</v>
      </c>
    </row>
    <row r="22" customFormat="false" ht="15" hidden="false" customHeight="true" outlineLevel="0" collapsed="false">
      <c r="A22" s="4" t="s">
        <v>246</v>
      </c>
      <c r="B22" s="7" t="n">
        <f aca="false">(B19+B20)*Assumptions!$B$47</f>
        <v>2201998</v>
      </c>
      <c r="C22" s="7" t="n">
        <f aca="false">(C19+C20)*Assumptions!$B$47</f>
        <v>2998217.16</v>
      </c>
    </row>
    <row r="23" customFormat="false" ht="15" hidden="false" customHeight="true" outlineLevel="0" collapsed="false">
      <c r="A23" s="4" t="s">
        <v>247</v>
      </c>
      <c r="B23" s="7" t="n">
        <f aca="false">(B4+B19+B20+B21+B22)*Assumptions!$B$48*Assumptions!$B$50*Assumptions!$B$49*(Assumptions!$B$20/12)</f>
        <v>2765074.67620313</v>
      </c>
      <c r="C23" s="7" t="n">
        <f aca="false">(C4+C19+C20+C21+C22)*Assumptions!$B$48*Assumptions!$B$50*Assumptions!$B$49*(Assumptions!$B$21/12)</f>
        <v>4256647.50808172</v>
      </c>
      <c r="D23" s="6" t="s">
        <v>248</v>
      </c>
    </row>
    <row r="24" customFormat="false" ht="15" hidden="false" customHeight="true" outlineLevel="0" collapsed="false">
      <c r="A24" s="21" t="s">
        <v>249</v>
      </c>
      <c r="B24" s="22" t="n">
        <f aca="false">B4+B19+B20+B21+B22+B23</f>
        <v>71515960.1762031</v>
      </c>
      <c r="C24" s="22" t="n">
        <f aca="false">C4+C19+C20+C21+C22+C23</f>
        <v>94974409.9180817</v>
      </c>
    </row>
    <row r="26" customFormat="false" ht="15" hidden="false" customHeight="true" outlineLevel="0" collapsed="false">
      <c r="A26" s="4" t="s">
        <v>250</v>
      </c>
      <c r="B26" s="7" t="n">
        <f aca="false">B24/Program!B15</f>
        <v>340.552191315253</v>
      </c>
      <c r="C26" s="7" t="n">
        <f aca="false">C24/Program!C15</f>
        <v>339.194321136006</v>
      </c>
    </row>
    <row r="27" customFormat="false" ht="15" hidden="false" customHeight="true" outlineLevel="0" collapsed="false">
      <c r="A27" s="10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6"/>
    <col collapsed="false" customWidth="true" hidden="false" outlineLevel="0" max="4" min="4" style="1" width="52"/>
  </cols>
  <sheetData>
    <row r="1" customFormat="false" ht="17.25" hidden="false" customHeight="true" outlineLevel="0" collapsed="false">
      <c r="A1" s="2" t="s">
        <v>252</v>
      </c>
    </row>
    <row r="3" customFormat="false" ht="15" hidden="false" customHeight="true" outlineLevel="0" collapsed="false">
      <c r="A3" s="3" t="s">
        <v>253</v>
      </c>
      <c r="B3" s="3" t="s">
        <v>2</v>
      </c>
      <c r="C3" s="3" t="s">
        <v>3</v>
      </c>
      <c r="D3" s="3" t="s">
        <v>216</v>
      </c>
    </row>
    <row r="4" customFormat="false" ht="15" hidden="false" customHeight="true" outlineLevel="0" collapsed="false">
      <c r="A4" s="4" t="s">
        <v>254</v>
      </c>
      <c r="B4" s="7" t="n">
        <f aca="false">Program!B14*Assumptions!$B$53*(1-Assumptions!$B$54)</f>
        <v>1992060</v>
      </c>
      <c r="C4" s="7" t="n">
        <f aca="false">Program!C14*Assumptions!$B$53*(1-Assumptions!$B$54)</f>
        <v>2988090</v>
      </c>
      <c r="D4" s="6" t="s">
        <v>255</v>
      </c>
    </row>
    <row r="5" customFormat="false" ht="15" hidden="false" customHeight="true" outlineLevel="0" collapsed="false">
      <c r="A5" s="4" t="s">
        <v>256</v>
      </c>
      <c r="B5" s="7" t="n">
        <f aca="false">Assumptions!$B$11*Assumptions!$B$55*(1-Assumptions!$B$54)</f>
        <v>175770</v>
      </c>
      <c r="C5" s="7" t="n">
        <f aca="false">Assumptions!$B$11*Assumptions!$B$55*(1-Assumptions!$B$54)</f>
        <v>175770</v>
      </c>
      <c r="D5" s="6"/>
    </row>
    <row r="6" customFormat="false" ht="15" hidden="false" customHeight="true" outlineLevel="0" collapsed="false">
      <c r="A6" s="4" t="s">
        <v>257</v>
      </c>
      <c r="B6" s="7" t="n">
        <f aca="false">Program!B18*Assumptions!$B$56</f>
        <v>816000</v>
      </c>
      <c r="C6" s="7" t="n">
        <f aca="false">Program!C18*Assumptions!$B$56</f>
        <v>1056000</v>
      </c>
      <c r="D6" s="6" t="s">
        <v>258</v>
      </c>
    </row>
    <row r="7" customFormat="false" ht="15" hidden="false" customHeight="true" outlineLevel="0" collapsed="false">
      <c r="A7" s="4" t="s">
        <v>259</v>
      </c>
      <c r="B7" s="7" t="n">
        <f aca="false">Assumptions!$B$58</f>
        <v>120000</v>
      </c>
      <c r="C7" s="7" t="n">
        <f aca="false">Assumptions!$B$58</f>
        <v>120000</v>
      </c>
      <c r="D7" s="6" t="s">
        <v>260</v>
      </c>
    </row>
    <row r="8" customFormat="false" ht="15" hidden="false" customHeight="true" outlineLevel="0" collapsed="false">
      <c r="A8" s="4" t="s">
        <v>261</v>
      </c>
      <c r="B8" s="7" t="n">
        <f aca="false">Assumptions!$B$35*Assumptions!$B$59*Assumptions!$B$60</f>
        <v>56550</v>
      </c>
      <c r="C8" s="7" t="n">
        <f aca="false">Assumptions!$B$36*Assumptions!$B$59*Assumptions!$B$60</f>
        <v>64090</v>
      </c>
      <c r="D8" s="6" t="s">
        <v>262</v>
      </c>
    </row>
    <row r="9" customFormat="false" ht="15" hidden="false" customHeight="true" outlineLevel="0" collapsed="false">
      <c r="A9" s="4" t="s">
        <v>263</v>
      </c>
      <c r="B9" s="7" t="n">
        <f aca="false">Assumptions!$B$61</f>
        <v>30000</v>
      </c>
      <c r="C9" s="7" t="n">
        <f aca="false">Assumptions!$B$61</f>
        <v>30000</v>
      </c>
      <c r="D9" s="6" t="s">
        <v>264</v>
      </c>
    </row>
    <row r="10" customFormat="false" ht="15" hidden="false" customHeight="true" outlineLevel="0" collapsed="false">
      <c r="A10" s="4" t="s">
        <v>265</v>
      </c>
      <c r="B10" s="7" t="n">
        <f aca="false">Assumptions!$B$63*Assumptions!$B$12*Assumptions!$B$62</f>
        <v>0</v>
      </c>
      <c r="C10" s="7" t="n">
        <f aca="false">Assumptions!$B$63*Assumptions!$B$12*Assumptions!$B$62</f>
        <v>0</v>
      </c>
      <c r="D10" s="6" t="s">
        <v>266</v>
      </c>
    </row>
    <row r="11" customFormat="false" ht="15" hidden="false" customHeight="true" outlineLevel="0" collapsed="false">
      <c r="A11" s="21" t="s">
        <v>267</v>
      </c>
      <c r="B11" s="22" t="n">
        <f aca="false">SUM(B4:B10)</f>
        <v>3190380</v>
      </c>
      <c r="C11" s="22" t="n">
        <f aca="false">SUM(C4:C10)</f>
        <v>4433950</v>
      </c>
    </row>
    <row r="12" customFormat="false" ht="15" hidden="false" customHeight="true" outlineLevel="0" collapsed="false">
      <c r="A12" s="4" t="s">
        <v>268</v>
      </c>
      <c r="B12" s="7" t="n">
        <f aca="false">-B6*Assumptions!$B$57</f>
        <v>-244800</v>
      </c>
      <c r="C12" s="7" t="n">
        <f aca="false">-C6*Assumptions!$B$57</f>
        <v>-316800</v>
      </c>
    </row>
    <row r="13" customFormat="false" ht="15" hidden="false" customHeight="true" outlineLevel="0" collapsed="false">
      <c r="A13" s="4" t="s">
        <v>269</v>
      </c>
      <c r="B13" s="7" t="n">
        <f aca="false">-B11*Assumptions!$B$64</f>
        <v>-95711.4</v>
      </c>
      <c r="C13" s="7" t="n">
        <f aca="false">-C11*Assumptions!$B$64</f>
        <v>-133018.5</v>
      </c>
    </row>
    <row r="14" customFormat="false" ht="15" hidden="false" customHeight="true" outlineLevel="0" collapsed="false">
      <c r="A14" s="4" t="s">
        <v>270</v>
      </c>
      <c r="B14" s="7" t="n">
        <f aca="false">-(Program!B13+Assumptions!$B$11)*Assumptions!$B$65</f>
        <v>-111750</v>
      </c>
      <c r="C14" s="7" t="n">
        <f aca="false">-(Program!C13+Assumptions!$B$11)*Assumptions!$B$65</f>
        <v>-164250</v>
      </c>
    </row>
    <row r="15" customFormat="false" ht="15" hidden="false" customHeight="true" outlineLevel="0" collapsed="false">
      <c r="A15" s="21" t="s">
        <v>271</v>
      </c>
      <c r="B15" s="22" t="n">
        <f aca="false">SUM(B11:B14)</f>
        <v>2738118.6</v>
      </c>
      <c r="C15" s="22" t="n">
        <f aca="false">SUM(C11:C14)</f>
        <v>3819881.5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4" min="2" style="1" width="13"/>
  </cols>
  <sheetData>
    <row r="1" customFormat="false" ht="17.25" hidden="false" customHeight="true" outlineLevel="0" collapsed="false">
      <c r="A1" s="2" t="s">
        <v>272</v>
      </c>
    </row>
    <row r="2" customFormat="false" ht="15" hidden="false" customHeight="true" outlineLevel="0" collapsed="false">
      <c r="A2" s="10" t="s">
        <v>273</v>
      </c>
    </row>
    <row r="4" customFormat="false" ht="15" hidden="false" customHeight="true" outlineLevel="0" collapsed="false">
      <c r="A4" s="3" t="s">
        <v>274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customFormat="false" ht="15" hidden="false" customHeight="true" outlineLevel="0" collapsed="false">
      <c r="A5" s="14" t="s">
        <v>275</v>
      </c>
      <c r="B5" s="24" t="n">
        <v>0</v>
      </c>
      <c r="C5" s="24" t="n">
        <v>1</v>
      </c>
      <c r="D5" s="24" t="n">
        <v>2</v>
      </c>
      <c r="E5" s="24" t="n">
        <v>3</v>
      </c>
      <c r="F5" s="24" t="n">
        <v>4</v>
      </c>
      <c r="G5" s="24" t="n">
        <v>5</v>
      </c>
      <c r="H5" s="24" t="n">
        <v>6</v>
      </c>
      <c r="I5" s="24" t="n">
        <v>7</v>
      </c>
      <c r="J5" s="24" t="n">
        <v>8</v>
      </c>
      <c r="K5" s="24" t="n">
        <v>9</v>
      </c>
      <c r="L5" s="24" t="n">
        <v>10</v>
      </c>
    </row>
    <row r="6" customFormat="false" ht="15" hidden="false" customHeight="true" outlineLevel="0" collapsed="false">
      <c r="A6" s="4" t="s">
        <v>276</v>
      </c>
      <c r="B6" s="7" t="n">
        <v>0</v>
      </c>
      <c r="C6" s="7" t="n">
        <v>0</v>
      </c>
      <c r="D6" s="7" t="n">
        <f aca="false">Operating!B15*Assumptions!$B$72</f>
        <v>1369059.3</v>
      </c>
      <c r="E6" s="7" t="n">
        <f aca="false">Operating!B15*Assumptions!$B$73*(1+Assumptions!$B$68)</f>
        <v>2525914.4085</v>
      </c>
      <c r="F6" s="7" t="n">
        <f aca="false">Operating!B15*(1+Assumptions!$B$68)^(4-2)</f>
        <v>2876735.854125</v>
      </c>
      <c r="G6" s="7" t="n">
        <f aca="false">Operating!B15*(1+Assumptions!$B$68)^(5-2)</f>
        <v>2948654.25047812</v>
      </c>
      <c r="H6" s="7" t="n">
        <f aca="false">Operating!B15*(1+Assumptions!$B$68)^(6-2)</f>
        <v>3022370.60674008</v>
      </c>
      <c r="I6" s="7" t="n">
        <f aca="false">Operating!B15*(1+Assumptions!$B$68)^(7-2)</f>
        <v>3097929.87190858</v>
      </c>
      <c r="J6" s="7" t="n">
        <f aca="false">Operating!B15*(1+Assumptions!$B$68)^(8-2)</f>
        <v>3175378.11870629</v>
      </c>
      <c r="K6" s="7" t="n">
        <f aca="false">Operating!B15*(1+Assumptions!$B$68)^(9-2)</f>
        <v>3254762.57167395</v>
      </c>
      <c r="L6" s="7" t="n">
        <f aca="false">Operating!B15*(1+Assumptions!$B$68)^(10-2)</f>
        <v>3336131.6359658</v>
      </c>
    </row>
    <row r="7" customFormat="false" ht="15" hidden="false" customHeight="true" outlineLevel="0" collapsed="false">
      <c r="A7" s="4" t="s">
        <v>277</v>
      </c>
      <c r="B7" s="7" t="n">
        <f aca="false">-(Budget!B4 + (Budget!B24-Budget!B4)*0.4)</f>
        <v>-33406384.0704813</v>
      </c>
      <c r="C7" s="7" t="n">
        <f aca="false">-(Budget!B24-Budget!B4)*0.6</f>
        <v>-38109576.1057219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</row>
    <row r="8" customFormat="false" ht="15" hidden="false" customHeight="true" outlineLevel="0" collapsed="false">
      <c r="A8" s="4" t="s">
        <v>278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f aca="false">L6*(1+Assumptions!$B$68)/Assumptions!$B$69*(1-Assumptions!$B$70)</f>
        <v>53618307.6532423</v>
      </c>
    </row>
    <row r="9" customFormat="false" ht="15" hidden="false" customHeight="true" outlineLevel="0" collapsed="false">
      <c r="A9" s="14" t="s">
        <v>279</v>
      </c>
      <c r="B9" s="22" t="n">
        <f aca="false">B6+B7+B8</f>
        <v>-33406384.0704813</v>
      </c>
      <c r="C9" s="22" t="n">
        <f aca="false">C6+C7+C8</f>
        <v>-38109576.1057219</v>
      </c>
      <c r="D9" s="22" t="n">
        <f aca="false">D6+D7+D8</f>
        <v>1369059.3</v>
      </c>
      <c r="E9" s="22" t="n">
        <f aca="false">E6+E7+E8</f>
        <v>2525914.4085</v>
      </c>
      <c r="F9" s="22" t="n">
        <f aca="false">F6+F7+F8</f>
        <v>2876735.854125</v>
      </c>
      <c r="G9" s="22" t="n">
        <f aca="false">G6+G7+G8</f>
        <v>2948654.25047812</v>
      </c>
      <c r="H9" s="22" t="n">
        <f aca="false">H6+H7+H8</f>
        <v>3022370.60674008</v>
      </c>
      <c r="I9" s="22" t="n">
        <f aca="false">I6+I7+I8</f>
        <v>3097929.87190858</v>
      </c>
      <c r="J9" s="22" t="n">
        <f aca="false">J6+J7+J8</f>
        <v>3175378.11870629</v>
      </c>
      <c r="K9" s="22" t="n">
        <f aca="false">K6+K7+K8</f>
        <v>3254762.57167395</v>
      </c>
      <c r="L9" s="22" t="n">
        <f aca="false">L6+L7+L8</f>
        <v>56954439.2892081</v>
      </c>
    </row>
    <row r="11" customFormat="false" ht="15" hidden="false" customHeight="true" outlineLevel="0" collapsed="false">
      <c r="A11" s="4" t="s">
        <v>280</v>
      </c>
      <c r="B11" s="7" t="n">
        <f aca="false">Budget!B24</f>
        <v>71515960.1762031</v>
      </c>
    </row>
    <row r="12" customFormat="false" ht="15" hidden="false" customHeight="true" outlineLevel="0" collapsed="false">
      <c r="A12" s="4" t="s">
        <v>12</v>
      </c>
      <c r="B12" s="7" t="n">
        <f aca="false">Operating!B15</f>
        <v>2738118.6</v>
      </c>
    </row>
    <row r="13" customFormat="false" ht="15" hidden="false" customHeight="true" outlineLevel="0" collapsed="false">
      <c r="A13" s="4" t="s">
        <v>281</v>
      </c>
      <c r="B13" s="25" t="n">
        <f aca="false">Operating!B15/Budget!B24</f>
        <v>0.0382868186801064</v>
      </c>
    </row>
    <row r="14" customFormat="false" ht="15" hidden="false" customHeight="true" outlineLevel="0" collapsed="false">
      <c r="A14" s="4" t="s">
        <v>282</v>
      </c>
      <c r="B14" s="7" t="n">
        <f aca="false">Operating!B15/Assumptions!$B$69</f>
        <v>43809897.6</v>
      </c>
    </row>
    <row r="15" customFormat="false" ht="15" hidden="false" customHeight="true" outlineLevel="0" collapsed="false">
      <c r="A15" s="4" t="s">
        <v>283</v>
      </c>
      <c r="B15" s="26" t="n">
        <f aca="false">B14-B11</f>
        <v>-27706062.5762031</v>
      </c>
    </row>
    <row r="16" customFormat="false" ht="15" hidden="false" customHeight="true" outlineLevel="0" collapsed="false">
      <c r="A16" s="4" t="s">
        <v>19</v>
      </c>
      <c r="B16" s="25" t="n">
        <f aca="false">IRR(B9:L9)</f>
        <v>0.0124371505188767</v>
      </c>
    </row>
    <row r="17" customFormat="false" ht="15" hidden="false" customHeight="true" outlineLevel="0" collapsed="false">
      <c r="A17" s="4" t="s">
        <v>21</v>
      </c>
      <c r="B17" s="27" t="n">
        <f aca="false">SUMIF(B9:L9,"&gt;0")/-SUMIF(B9:L9,"&lt;0")</f>
        <v>1.10779809256763</v>
      </c>
    </row>
    <row r="18" customFormat="false" ht="15" hidden="false" customHeight="true" outlineLevel="0" collapsed="false">
      <c r="A18" s="3" t="s">
        <v>284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customFormat="false" ht="15" hidden="false" customHeight="true" outlineLevel="0" collapsed="false">
      <c r="A19" s="14" t="s">
        <v>275</v>
      </c>
      <c r="B19" s="24" t="n">
        <v>0</v>
      </c>
      <c r="C19" s="24" t="n">
        <v>1</v>
      </c>
      <c r="D19" s="24" t="n">
        <v>2</v>
      </c>
      <c r="E19" s="24" t="n">
        <v>3</v>
      </c>
      <c r="F19" s="24" t="n">
        <v>4</v>
      </c>
      <c r="G19" s="24" t="n">
        <v>5</v>
      </c>
      <c r="H19" s="24" t="n">
        <v>6</v>
      </c>
      <c r="I19" s="24" t="n">
        <v>7</v>
      </c>
      <c r="J19" s="24" t="n">
        <v>8</v>
      </c>
      <c r="K19" s="24" t="n">
        <v>9</v>
      </c>
      <c r="L19" s="24" t="n">
        <v>10</v>
      </c>
    </row>
    <row r="20" customFormat="false" ht="15" hidden="false" customHeight="true" outlineLevel="0" collapsed="false">
      <c r="A20" s="4" t="s">
        <v>276</v>
      </c>
      <c r="B20" s="7" t="n">
        <v>0</v>
      </c>
      <c r="C20" s="7" t="n">
        <v>0</v>
      </c>
      <c r="D20" s="7" t="n">
        <f aca="false">Operating!C15*Assumptions!$B$72</f>
        <v>1909940.75</v>
      </c>
      <c r="E20" s="7" t="n">
        <f aca="false">Operating!C15*Assumptions!$B$73*(1+Assumptions!$B$68)</f>
        <v>3523840.68375</v>
      </c>
      <c r="F20" s="7" t="n">
        <f aca="false">Operating!C15*(1+Assumptions!$B$68)^(4-2)</f>
        <v>4013263.0009375</v>
      </c>
      <c r="G20" s="7" t="n">
        <f aca="false">Operating!C15*(1+Assumptions!$B$68)^(5-2)</f>
        <v>4113594.57596094</v>
      </c>
      <c r="H20" s="7" t="n">
        <f aca="false">Operating!C15*(1+Assumptions!$B$68)^(6-2)</f>
        <v>4216434.44035996</v>
      </c>
      <c r="I20" s="7" t="n">
        <f aca="false">Operating!C15*(1+Assumptions!$B$68)^(7-2)</f>
        <v>4321845.30136896</v>
      </c>
      <c r="J20" s="7" t="n">
        <f aca="false">Operating!C15*(1+Assumptions!$B$68)^(8-2)</f>
        <v>4429891.43390318</v>
      </c>
      <c r="K20" s="7" t="n">
        <f aca="false">Operating!C15*(1+Assumptions!$B$68)^(9-2)</f>
        <v>4540638.71975076</v>
      </c>
      <c r="L20" s="7" t="n">
        <f aca="false">Operating!C15*(1+Assumptions!$B$68)^(10-2)</f>
        <v>4654154.68774453</v>
      </c>
    </row>
    <row r="21" customFormat="false" ht="15" hidden="false" customHeight="true" outlineLevel="0" collapsed="false">
      <c r="A21" s="4" t="s">
        <v>277</v>
      </c>
      <c r="B21" s="7" t="n">
        <f aca="false">-(Budget!C4 + (Budget!C24-Budget!C4)*0.4)</f>
        <v>-42789763.9672327</v>
      </c>
      <c r="C21" s="7" t="n">
        <f aca="false">-(Budget!C24-Budget!C4)*0.6</f>
        <v>-52184645.950849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</row>
    <row r="22" customFormat="false" ht="15" hidden="false" customHeight="true" outlineLevel="0" collapsed="false">
      <c r="A22" s="4" t="s">
        <v>278</v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f aca="false">L20*(1+Assumptions!$B$68)/Assumptions!$B$69*(1-Assumptions!$B$70)</f>
        <v>74801574.1414301</v>
      </c>
    </row>
    <row r="23" customFormat="false" ht="15" hidden="false" customHeight="true" outlineLevel="0" collapsed="false">
      <c r="A23" s="14" t="s">
        <v>279</v>
      </c>
      <c r="B23" s="22" t="n">
        <f aca="false">B20+B21+B22</f>
        <v>-42789763.9672327</v>
      </c>
      <c r="C23" s="22" t="n">
        <f aca="false">C20+C21+C22</f>
        <v>-52184645.950849</v>
      </c>
      <c r="D23" s="22" t="n">
        <f aca="false">D20+D21+D22</f>
        <v>1909940.75</v>
      </c>
      <c r="E23" s="22" t="n">
        <f aca="false">E20+E21+E22</f>
        <v>3523840.68375</v>
      </c>
      <c r="F23" s="22" t="n">
        <f aca="false">F20+F21+F22</f>
        <v>4013263.0009375</v>
      </c>
      <c r="G23" s="22" t="n">
        <f aca="false">G20+G21+G22</f>
        <v>4113594.57596094</v>
      </c>
      <c r="H23" s="22" t="n">
        <f aca="false">H20+H21+H22</f>
        <v>4216434.44035996</v>
      </c>
      <c r="I23" s="22" t="n">
        <f aca="false">I20+I21+I22</f>
        <v>4321845.30136896</v>
      </c>
      <c r="J23" s="22" t="n">
        <f aca="false">J20+J21+J22</f>
        <v>4429891.43390318</v>
      </c>
      <c r="K23" s="22" t="n">
        <f aca="false">K20+K21+K22</f>
        <v>4540638.71975076</v>
      </c>
      <c r="L23" s="22" t="n">
        <f aca="false">L20+L21+L22</f>
        <v>79455728.8291746</v>
      </c>
    </row>
    <row r="25" customFormat="false" ht="15" hidden="false" customHeight="true" outlineLevel="0" collapsed="false">
      <c r="A25" s="4" t="s">
        <v>280</v>
      </c>
      <c r="B25" s="7" t="n">
        <f aca="false">Budget!C24</f>
        <v>94974409.9180817</v>
      </c>
    </row>
    <row r="26" customFormat="false" ht="15" hidden="false" customHeight="true" outlineLevel="0" collapsed="false">
      <c r="A26" s="4" t="s">
        <v>12</v>
      </c>
      <c r="B26" s="7" t="n">
        <f aca="false">Operating!C15</f>
        <v>3819881.5</v>
      </c>
    </row>
    <row r="27" customFormat="false" ht="15" hidden="false" customHeight="true" outlineLevel="0" collapsed="false">
      <c r="A27" s="4" t="s">
        <v>281</v>
      </c>
      <c r="B27" s="25" t="n">
        <f aca="false">Operating!C15/Budget!C24</f>
        <v>0.0402201130103863</v>
      </c>
    </row>
    <row r="28" customFormat="false" ht="15" hidden="false" customHeight="true" outlineLevel="0" collapsed="false">
      <c r="A28" s="4" t="s">
        <v>282</v>
      </c>
      <c r="B28" s="7" t="n">
        <f aca="false">Operating!C15/Assumptions!$B$69</f>
        <v>61118104</v>
      </c>
    </row>
    <row r="29" customFormat="false" ht="15" hidden="false" customHeight="true" outlineLevel="0" collapsed="false">
      <c r="A29" s="4" t="s">
        <v>283</v>
      </c>
      <c r="B29" s="26" t="n">
        <f aca="false">B28-B25</f>
        <v>-33856305.9180817</v>
      </c>
    </row>
    <row r="30" customFormat="false" ht="15" hidden="false" customHeight="true" outlineLevel="0" collapsed="false">
      <c r="A30" s="4" t="s">
        <v>19</v>
      </c>
      <c r="B30" s="25" t="n">
        <f aca="false">IRR(B23:L23)</f>
        <v>0.0185460313137203</v>
      </c>
    </row>
    <row r="31" customFormat="false" ht="15" hidden="false" customHeight="true" outlineLevel="0" collapsed="false">
      <c r="A31" s="4" t="s">
        <v>21</v>
      </c>
      <c r="B31" s="27" t="n">
        <f aca="false">SUMIF(B23:L23,"&gt;0")/-SUMIF(B23:L23,"&lt;0")</f>
        <v>1.16373639836812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2026-07-25T20:56:00Z</dcterms:created>
  <dc:creator>openpyxl</dc:creator>
  <dc:description/>
  <dc:language>en-US</dc:language>
  <cp:lastModifiedBy/>
  <dcterms:modified xsi:type="dcterms:W3CDTF">2026-07-25T20:58:39Z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