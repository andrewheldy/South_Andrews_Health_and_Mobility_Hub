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93a53c68c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8bded389025b4b9b"/>
    <x:sheet xmlns:r="http://schemas.openxmlformats.org/officeDocument/2006/relationships" name="Program &amp; Massing" sheetId="2" r:id="R1630011d68444056"/>
    <x:sheet xmlns:r="http://schemas.openxmlformats.org/officeDocument/2006/relationships" name="Construction Budget" sheetId="3" r:id="R216b53c6aaa048c0"/>
    <x:sheet xmlns:r="http://schemas.openxmlformats.org/officeDocument/2006/relationships" name="Energy &amp; Mobility" sheetId="4" r:id="R9169c00e138c45d3"/>
    <x:sheet xmlns:r="http://schemas.openxmlformats.org/officeDocument/2006/relationships" name="Financing &amp; Returns" sheetId="5" r:id="R9c87cd6aa3984e5f"/>
    <x:sheet xmlns:r="http://schemas.openxmlformats.org/officeDocument/2006/relationships" name="Sensitivity" sheetId="6" r:id="R3cae65fee5324e77"/>
    <x:sheet xmlns:r="http://schemas.openxmlformats.org/officeDocument/2006/relationships" name="Sources" sheetId="7" r:id="Rfefceed189514299"/>
    <x:sheet xmlns:r="http://schemas.openxmlformats.org/officeDocument/2006/relationships" name="Executive Dashboard" sheetId="8" r:id="R77b542516800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[Red]($#,##0);-"/>
    <x:numFmt numFmtId="201" formatCode="$0.00;[Red]($0.00);-"/>
    <x:numFmt numFmtId="202" formatCode="0.0%;[Red](0.0%);-"/>
    <x:numFmt numFmtId="203" formatCode="#,##0;[Red](#,##0);-"/>
    <x:numFmt numFmtId="204" formatCode="#,##0.0;[Red](#,##0.0);-"/>
    <x:numFmt numFmtId="205" formatCode="0.00"/>
  </x:numFmts>
  <x:fonts count="2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i/>
      <x:sz val="9"/>
      <x:color rgb="FF666666"/>
      <x:name val="Carlito"/>
    </x:font>
    <x:font>
      <x:sz val="11"/>
      <x:color rgb="FF008000"/>
      <x:name val="Carlito"/>
    </x:font>
    <x:font>
      <x:sz val="9"/>
      <x:color rgb="FF555555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name val="Carlito"/>
    </x:font>
    <x:font>
      <x:sz val="11"/>
      <x:color rgb="FF000000"/>
      <x:name val="Carlito"/>
    </x:font>
    <x:font>
      <x:b/>
      <x:sz val="11"/>
      <x:color rgb="FF008000"/>
      <x:name val="Carlito"/>
    </x:font>
    <x:font>
      <x:b/>
      <x:sz val="11"/>
      <x:color rgb="FF0B2D5C"/>
      <x:name val="Carlito"/>
    </x:font>
    <x:font>
      <x:sz val="11"/>
      <x:color rgb="FF0563C1"/>
      <x:name val="Carlito"/>
    </x:font>
    <x:font>
      <x:b/>
      <x:sz val="12"/>
      <x:color rgb="FF0B2D5C"/>
      <x:name val="Carlito"/>
    </x:font>
    <x:font>
      <x:b/>
      <x:sz val="12"/>
      <x:color rgb="FFFFFFFF"/>
      <x:name val="Carlito"/>
    </x:font>
    <x:font>
      <x:sz val="11"/>
      <x:color rgb="FF0B2D5C"/>
      <x:name val="Carlito"/>
    </x:font>
    <x:font>
      <x:i/>
      <x:sz val="9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D5C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0F8"/>
      </x:patternFill>
    </x:fill>
    <x:fill>
      <x:patternFill patternType="solid">
        <x:fgColor rgb="FFFFFFFF"/>
      </x:patternFill>
    </x:fill>
    <x:fill>
      <x:patternFill patternType="solid">
        <x:fgColor rgb="FFC6A15B"/>
      </x:patternFill>
    </x:fill>
    <x:fill>
      <x:patternFill patternType="solid">
        <x:fgColor rgb="FFFCE4D6"/>
      </x:patternFill>
    </x:fill>
  </x:fills>
  <x:borders count="10">
    <x:border/>
    <x:border/>
    <x:border>
      <x:bottom style="thin">
        <x:color rgb="FFFFFFFF"/>
      </x:bottom>
    </x:border>
    <x:border>
      <x:bottom style="thin">
        <x:color rgb="FFFFFFFF"/>
      </x:bottom>
    </x:border>
    <x:border>
      <x:bottom style="hair">
        <x:color rgb="FFC8C8C8"/>
      </x:bottom>
    </x:border>
    <x:border>
      <x:bottom style="hair">
        <x:color rgb="FFC8C8C8"/>
      </x:bottom>
    </x:border>
    <x:border>
      <x:top style="thin">
        <x:color rgb="FF0B2D5C"/>
      </x:top>
    </x:border>
    <x:border>
      <x:top style="thin">
        <x:color rgb="FF0B2D5C"/>
      </x:top>
    </x:border>
    <x:border>
      <x:bottom style="hair">
        <x:color rgb="FFD0D0D0"/>
      </x:bottom>
    </x:border>
    <x:border>
      <x:bottom style="hair">
        <x:color rgb="FFD0D0D0"/>
      </x:bottom>
    </x:border>
  </x:borders>
  <x:cellStyleXfs count="1">
    <x:xf numFmtId="0" fontId="0" fillId="0" borderId="0"/>
  </x:cellStyleXfs>
  <x:cellXfs count="2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204" fontId="4" fillId="5" borderId="0" xfId="0" applyNumberFormat="1" applyFont="1" applyFill="1" applyBorder="1"/>
    <x:xf numFmtId="204" fontId="4" fillId="5" borderId="1" xfId="0" applyNumberFormat="1" applyFont="1" applyFill="1" applyBorder="1"/>
    <x:xf numFmtId="0" fontId="3" fillId="4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203" fontId="4" fillId="5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/>
    </x:xf>
    <x:xf numFmtId="202" fontId="4" fillId="5" borderId="0" xfId="0" applyNumberFormat="1" applyFont="1" applyFill="1" applyBorder="1" applyAlignment="1">
      <x:alignment vertical="top"/>
    </x:xf>
    <x:xf numFmtId="201" fontId="4" fillId="5" borderId="0" xfId="0" applyNumberFormat="1" applyFont="1" applyFill="1" applyBorder="1" applyAlignment="1">
      <x:alignment vertical="top"/>
    </x:xf>
    <x:xf numFmtId="204" fontId="4" fillId="5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203" fontId="4" fillId="5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/>
    </x:xf>
    <x:xf numFmtId="202" fontId="4" fillId="5" borderId="1" xfId="0" applyNumberFormat="1" applyFont="1" applyFill="1" applyBorder="1" applyAlignment="1">
      <x:alignment vertical="top"/>
    </x:xf>
    <x:xf numFmtId="201" fontId="4" fillId="5" borderId="1" xfId="0" applyNumberFormat="1" applyFont="1" applyFill="1" applyBorder="1" applyAlignment="1">
      <x:alignment vertical="top"/>
    </x:xf>
    <x:xf numFmtId="204" fontId="4" fillId="5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3" fontId="4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4" fontId="4" fillId="5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3" fontId="4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204" fontId="4" fillId="5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4" xfId="0" applyNumberFormat="1" applyFont="1" applyFill="1" applyBorder="1"/>
    <x:xf numFmtId="203" fontId="0" fillId="0" borderId="4" xfId="0" applyNumberFormat="1" applyFont="1" applyFill="1" applyBorder="1"/>
    <x:xf numFmtId="203" fontId="6" fillId="0" borderId="4" xfId="0" applyNumberFormat="1" applyFont="1" applyFill="1" applyBorder="1"/>
    <x:xf numFmtId="0" fontId="0" fillId="0" borderId="5" xfId="0" applyNumberFormat="1" applyFont="1" applyFill="1" applyBorder="1"/>
    <x:xf numFmtId="203" fontId="0" fillId="0" borderId="5" xfId="0" applyNumberFormat="1" applyFont="1" applyFill="1" applyBorder="1"/>
    <x:xf numFmtId="203" fontId="6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3" fontId="0" fillId="0" borderId="4" xfId="0" applyNumberFormat="1" applyFont="1" applyFill="1" applyBorder="1" applyAlignment="1">
      <x:alignment wrapText="1"/>
    </x:xf>
    <x:xf numFmtId="203" fontId="6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3" fontId="6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203" fontId="0" fillId="0" borderId="4" xfId="0" applyNumberFormat="1" applyFont="1" applyFill="1" applyBorder="1" applyAlignment="1">
      <x:alignment vertical="top" wrapText="1"/>
    </x:xf>
    <x:xf numFmtId="203" fontId="6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203" fontId="0" fillId="0" borderId="5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0" fontId="0" fillId="0" borderId="6" xfId="0" applyNumberFormat="1" applyFont="1" applyFill="1" applyBorder="1"/>
    <x:xf numFmtId="200" fontId="8" fillId="0" borderId="6" xfId="0" applyNumberFormat="1" applyFont="1" applyFill="1" applyBorder="1"/>
    <x:xf numFmtId="0" fontId="0" fillId="0" borderId="7" xfId="0" applyNumberFormat="1" applyFont="1" applyFill="1" applyBorder="1"/>
    <x:xf numFmtId="200" fontId="8" fillId="0" borderId="7" xfId="0" applyNumberFormat="1" applyFont="1" applyFill="1" applyBorder="1"/>
    <x:xf numFmtId="0" fontId="9" fillId="0" borderId="6" xfId="0" applyNumberFormat="1" applyFont="1" applyFill="1" applyBorder="1"/>
    <x:xf numFmtId="200" fontId="10" fillId="0" borderId="6" xfId="0" applyNumberFormat="1" applyFont="1" applyFill="1" applyBorder="1"/>
    <x:xf numFmtId="0" fontId="9" fillId="0" borderId="7" xfId="0" applyNumberFormat="1" applyFont="1" applyFill="1" applyBorder="1"/>
    <x:xf numFmtId="200" fontId="10" fillId="0" borderId="7" xfId="0" applyNumberFormat="1" applyFont="1" applyFill="1" applyBorder="1"/>
    <x:xf numFmtId="0" fontId="9" fillId="0" borderId="0" xfId="0" applyNumberFormat="1" applyFont="1" applyFill="1" applyBorder="1"/>
    <x:xf numFmtId="200" fontId="10" fillId="0" borderId="0" xfId="0" applyNumberFormat="1" applyFont="1" applyFill="1" applyBorder="1"/>
    <x:xf numFmtId="0" fontId="9" fillId="0" borderId="1" xfId="0" applyNumberFormat="1" applyFont="1" applyFill="1" applyBorder="1"/>
    <x:xf numFmtId="200" fontId="10" fillId="0" borderId="1" xfId="0" applyNumberFormat="1" applyFont="1" applyFill="1" applyBorder="1"/>
    <x:xf numFmtId="0" fontId="9" fillId="6" borderId="0" xfId="0" applyNumberFormat="1" applyFont="1" applyFill="1" applyBorder="1"/>
    <x:xf numFmtId="200" fontId="10" fillId="6" borderId="0" xfId="0" applyNumberFormat="1" applyFont="1" applyFill="1" applyBorder="1"/>
    <x:xf numFmtId="0" fontId="9" fillId="6" borderId="1" xfId="0" applyNumberFormat="1" applyFont="1" applyFill="1" applyBorder="1"/>
    <x:xf numFmtId="200" fontId="10" fillId="6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0" fontId="11" fillId="0" borderId="0" xfId="0" applyNumberFormat="1" applyFont="1" applyFill="1" applyBorder="1"/>
    <x:xf numFmtId="201" fontId="12" fillId="0" borderId="0" xfId="0" applyNumberFormat="1" applyFont="1" applyFill="1" applyBorder="1"/>
    <x:xf numFmtId="0" fontId="11" fillId="0" borderId="1" xfId="0" applyNumberFormat="1" applyFont="1" applyFill="1" applyBorder="1"/>
    <x:xf numFmtId="201" fontId="12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202" fontId="12" fillId="0" borderId="0" xfId="0" applyNumberFormat="1" applyFont="1" applyFill="1" applyBorder="1"/>
    <x:xf numFmtId="202" fontId="12" fillId="0" borderId="1" xfId="0" applyNumberFormat="1" applyFont="1" applyFill="1" applyBorder="1"/>
    <x:xf numFmtId="0" fontId="9" fillId="6" borderId="6" xfId="0" applyNumberFormat="1" applyFont="1" applyFill="1" applyBorder="1"/>
    <x:xf numFmtId="200" fontId="10" fillId="6" borderId="6" xfId="0" applyNumberFormat="1" applyFont="1" applyFill="1" applyBorder="1"/>
    <x:xf numFmtId="0" fontId="9" fillId="6" borderId="7" xfId="0" applyNumberFormat="1" applyFont="1" applyFill="1" applyBorder="1"/>
    <x:xf numFmtId="200" fontId="10" fillId="6" borderId="7" xfId="0" applyNumberFormat="1" applyFont="1" applyFill="1" applyBorder="1"/>
    <x:xf numFmtId="0" fontId="3" fillId="4" borderId="0" xfId="0" applyNumberFormat="1" applyFont="1" applyFill="1" applyBorder="1" applyAlignment="1">
      <x:alignment horizontal="left" vertical="center"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9" fillId="6" borderId="7" xfId="0" applyNumberFormat="1" applyFont="1" applyFill="1" applyBorder="1" applyAlignment="1">
      <x:alignment wrapText="1"/>
    </x:xf>
    <x:xf numFmtId="0" fontId="9" fillId="6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 wrapText="1"/>
    </x:xf>
    <x:xf numFmtId="200" fontId="10" fillId="0" borderId="6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/>
    </x:xf>
    <x:xf numFmtId="200" fontId="8" fillId="0" borderId="0" xfId="0" applyNumberFormat="1" applyFont="1" applyFill="1" applyBorder="1" applyAlignment="1">
      <x:alignment vertical="top"/>
    </x:xf>
    <x:xf numFmtId="0" fontId="9" fillId="6" borderId="6" xfId="0" applyNumberFormat="1" applyFont="1" applyFill="1" applyBorder="1" applyAlignment="1">
      <x:alignment vertical="top" wrapText="1"/>
    </x:xf>
    <x:xf numFmtId="200" fontId="10" fillId="6" borderId="6" xfId="0" applyNumberFormat="1" applyFont="1" applyFill="1" applyBorder="1" applyAlignment="1">
      <x:alignment vertical="top"/>
    </x:xf>
    <x:xf numFmtId="0" fontId="9" fillId="6" borderId="0" xfId="0" applyNumberFormat="1" applyFont="1" applyFill="1" applyBorder="1" applyAlignment="1">
      <x:alignment vertical="top" wrapText="1"/>
    </x:xf>
    <x:xf numFmtId="200" fontId="10" fillId="6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201" fontId="12" fillId="0" borderId="0" xfId="0" applyNumberFormat="1" applyFont="1" applyFill="1" applyBorder="1" applyAlignment="1">
      <x:alignment vertical="top"/>
    </x:xf>
    <x:xf numFmtId="202" fontId="12" fillId="0" borderId="0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0" fontId="9" fillId="0" borderId="7" xfId="0" applyNumberFormat="1" applyFont="1" applyFill="1" applyBorder="1" applyAlignment="1">
      <x:alignment vertical="top" wrapText="1"/>
    </x:xf>
    <x:xf numFmtId="200" fontId="10" fillId="0" borderId="7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 wrapText="1"/>
    </x:xf>
    <x:xf numFmtId="200" fontId="10" fillId="0" borderId="1" xfId="0" applyNumberFormat="1" applyFont="1" applyFill="1" applyBorder="1" applyAlignment="1">
      <x:alignment vertical="top"/>
    </x:xf>
    <x:xf numFmtId="200" fontId="8" fillId="0" borderId="1" xfId="0" applyNumberFormat="1" applyFont="1" applyFill="1" applyBorder="1" applyAlignment="1">
      <x:alignment vertical="top"/>
    </x:xf>
    <x:xf numFmtId="0" fontId="9" fillId="6" borderId="7" xfId="0" applyNumberFormat="1" applyFont="1" applyFill="1" applyBorder="1" applyAlignment="1">
      <x:alignment vertical="top" wrapText="1"/>
    </x:xf>
    <x:xf numFmtId="200" fontId="10" fillId="6" borderId="7" xfId="0" applyNumberFormat="1" applyFont="1" applyFill="1" applyBorder="1" applyAlignment="1">
      <x:alignment vertical="top"/>
    </x:xf>
    <x:xf numFmtId="0" fontId="9" fillId="6" borderId="1" xfId="0" applyNumberFormat="1" applyFont="1" applyFill="1" applyBorder="1" applyAlignment="1">
      <x:alignment vertical="top" wrapText="1"/>
    </x:xf>
    <x:xf numFmtId="200" fontId="10" fillId="6" borderId="1" xfId="0" applyNumberFormat="1" applyFont="1" applyFill="1" applyBorder="1" applyAlignment="1">
      <x:alignment vertical="top"/>
    </x:xf>
    <x:xf numFmtId="0" fontId="11" fillId="0" borderId="1" xfId="0" applyNumberFormat="1" applyFont="1" applyFill="1" applyBorder="1" applyAlignment="1">
      <x:alignment vertical="top" wrapText="1"/>
    </x:xf>
    <x:xf numFmtId="201" fontId="12" fillId="0" borderId="1" xfId="0" applyNumberFormat="1" applyFont="1" applyFill="1" applyBorder="1" applyAlignment="1">
      <x:alignment vertical="top"/>
    </x:xf>
    <x:xf numFmtId="202" fontId="12" fillId="0" borderId="1" xfId="0" applyNumberFormat="1" applyFont="1" applyFill="1" applyBorder="1" applyAlignment="1">
      <x:alignment vertical="top"/>
    </x:xf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8" fillId="6" borderId="0" xfId="0" applyNumberFormat="1" applyFont="1" applyFill="1" applyBorder="1"/>
    <x:xf numFmtId="200" fontId="8" fillId="6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0" fontId="6" fillId="5" borderId="0" xfId="0" applyNumberFormat="1" applyFont="1" applyFill="1" applyBorder="1"/>
    <x:xf numFmtId="200" fontId="6" fillId="5" borderId="1" xfId="0" applyNumberFormat="1" applyFont="1" applyFill="1" applyBorder="1"/>
    <x:xf numFmtId="0" fontId="9" fillId="5" borderId="0" xfId="0" applyNumberFormat="1" applyFont="1" applyFill="1" applyBorder="1"/>
    <x:xf numFmtId="200" fontId="13" fillId="5" borderId="0" xfId="0" applyNumberFormat="1" applyFont="1" applyFill="1" applyBorder="1"/>
    <x:xf numFmtId="0" fontId="9" fillId="5" borderId="1" xfId="0" applyNumberFormat="1" applyFont="1" applyFill="1" applyBorder="1"/>
    <x:xf numFmtId="200" fontId="13" fillId="5" borderId="1" xfId="0" applyNumberFormat="1" applyFont="1" applyFill="1" applyBorder="1"/>
    <x:xf numFmtId="0" fontId="14" fillId="6" borderId="0" xfId="0" applyNumberFormat="1" applyFont="1" applyFill="1" applyBorder="1"/>
    <x:xf numFmtId="0" fontId="14" fillId="6" borderId="0" xfId="0" applyNumberFormat="1" applyFont="1" applyFill="1" applyBorder="1" applyAlignment="1">
      <x:alignment wrapText="1"/>
    </x:xf>
    <x:xf numFmtId="0" fontId="14" fillId="6" borderId="1" xfId="0" applyNumberFormat="1" applyFont="1" applyFill="1" applyBorder="1"/>
    <x:xf numFmtId="0" fontId="14" fillId="6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vertical="top"/>
    </x:xf>
    <x:xf numFmtId="0" fontId="9" fillId="5" borderId="0" xfId="0" applyNumberFormat="1" applyFont="1" applyFill="1" applyBorder="1" applyAlignment="1">
      <x:alignment vertical="top" wrapText="1"/>
    </x:xf>
    <x:xf numFmtId="200" fontId="13" fillId="5" borderId="0" xfId="0" applyNumberFormat="1" applyFont="1" applyFill="1" applyBorder="1" applyAlignment="1">
      <x:alignment vertical="top"/>
    </x:xf>
    <x:xf numFmtId="0" fontId="14" fillId="6" borderId="0" xfId="0" applyNumberFormat="1" applyFont="1" applyFill="1" applyBorder="1" applyAlignment="1">
      <x:alignment vertical="top" wrapText="1"/>
    </x:xf>
    <x:xf numFmtId="202" fontId="6" fillId="0" borderId="1" xfId="0" applyNumberFormat="1" applyFont="1" applyFill="1" applyBorder="1" applyAlignment="1">
      <x:alignment vertical="top"/>
    </x:xf>
    <x:xf numFmtId="0" fontId="9" fillId="5" borderId="1" xfId="0" applyNumberFormat="1" applyFont="1" applyFill="1" applyBorder="1" applyAlignment="1">
      <x:alignment vertical="top" wrapText="1"/>
    </x:xf>
    <x:xf numFmtId="200" fontId="13" fillId="5" borderId="1" xfId="0" applyNumberFormat="1" applyFont="1" applyFill="1" applyBorder="1" applyAlignment="1">
      <x:alignment vertical="top"/>
    </x:xf>
    <x:xf numFmtId="0" fontId="14" fillId="6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5" fillId="3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6" fillId="8" borderId="0" xfId="0" applyNumberFormat="1" applyFont="1" applyFill="1" applyBorder="1"/>
    <x:xf numFmtId="0" fontId="16" fillId="8" borderId="0" xfId="0" applyNumberFormat="1" applyFont="1" applyFill="1" applyBorder="1" applyAlignment="1">
      <x:alignment horizontal="center"/>
    </x:xf>
    <x:xf numFmtId="0" fontId="16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6" fillId="8" borderId="1" xfId="0" applyNumberFormat="1" applyFont="1" applyFill="1" applyBorder="1"/>
    <x:xf numFmtId="0" fontId="16" fillId="8" borderId="1" xfId="0" applyNumberFormat="1" applyFont="1" applyFill="1" applyBorder="1" applyAlignment="1">
      <x:alignment horizontal="center"/>
    </x:xf>
    <x:xf numFmtId="0" fontId="16" fillId="8" borderId="1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/>
    <x:xf numFmtId="0" fontId="17" fillId="2" borderId="0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right"/>
    </x:xf>
    <x:xf numFmtId="0" fontId="6" fillId="0" borderId="8" xfId="0" applyNumberFormat="1" applyFont="1" applyFill="1" applyBorder="1" applyAlignment="1">
      <x:alignment horizontal="right"/>
    </x:xf>
    <x:xf numFmtId="0" fontId="6" fillId="0" borderId="9" xfId="0" applyNumberFormat="1" applyFont="1" applyFill="1" applyBorder="1" applyAlignment="1">
      <x:alignment horizontal="right"/>
    </x:xf>
    <x:xf numFmtId="203" fontId="6" fillId="0" borderId="8" xfId="0" applyNumberFormat="1" applyFont="1" applyFill="1" applyBorder="1" applyAlignment="1">
      <x:alignment horizontal="right"/>
    </x:xf>
    <x:xf numFmtId="203" fontId="6" fillId="0" borderId="9" xfId="0" applyNumberFormat="1" applyFont="1" applyFill="1" applyBorder="1" applyAlignment="1">
      <x:alignment horizontal="right"/>
    </x:xf>
    <x:xf numFmtId="0" fontId="0" fillId="3" borderId="8" xfId="0" applyNumberFormat="1" applyFont="1" applyFill="1" applyBorder="1"/>
    <x:xf numFmtId="203" fontId="6" fillId="3" borderId="8" xfId="0" applyNumberFormat="1" applyFont="1" applyFill="1" applyBorder="1" applyAlignment="1">
      <x:alignment horizontal="right"/>
    </x:xf>
    <x:xf numFmtId="0" fontId="0" fillId="3" borderId="9" xfId="0" applyNumberFormat="1" applyFont="1" applyFill="1" applyBorder="1"/>
    <x:xf numFmtId="203" fontId="6" fillId="3" borderId="9" xfId="0" applyNumberFormat="1" applyFont="1" applyFill="1" applyBorder="1" applyAlignment="1">
      <x:alignment horizontal="right"/>
    </x:xf>
    <x:xf numFmtId="205" fontId="6" fillId="0" borderId="8" xfId="0" applyNumberFormat="1" applyFont="1" applyFill="1" applyBorder="1" applyAlignment="1">
      <x:alignment horizontal="right"/>
    </x:xf>
    <x:xf numFmtId="205" fontId="6" fillId="0" borderId="9" xfId="0" applyNumberFormat="1" applyFont="1" applyFill="1" applyBorder="1" applyAlignment="1">
      <x:alignment horizontal="right"/>
    </x:xf>
    <x:xf numFmtId="205" fontId="6" fillId="3" borderId="8" xfId="0" applyNumberFormat="1" applyFont="1" applyFill="1" applyBorder="1" applyAlignment="1">
      <x:alignment horizontal="right"/>
    </x:xf>
    <x:xf numFmtId="205" fontId="6" fillId="3" borderId="9" xfId="0" applyNumberFormat="1" applyFont="1" applyFill="1" applyBorder="1" applyAlignment="1">
      <x:alignment horizontal="right"/>
    </x:xf>
    <x:xf numFmtId="200" fontId="6" fillId="0" borderId="8" xfId="0" applyNumberFormat="1" applyFont="1" applyFill="1" applyBorder="1" applyAlignment="1">
      <x:alignment horizontal="right"/>
    </x:xf>
    <x:xf numFmtId="200" fontId="6" fillId="0" borderId="9" xfId="0" applyNumberFormat="1" applyFont="1" applyFill="1" applyBorder="1" applyAlignment="1">
      <x:alignment horizontal="right"/>
    </x:xf>
    <x:xf numFmtId="200" fontId="6" fillId="3" borderId="8" xfId="0" applyNumberFormat="1" applyFont="1" applyFill="1" applyBorder="1" applyAlignment="1">
      <x:alignment horizontal="right"/>
    </x:xf>
    <x:xf numFmtId="200" fontId="6" fillId="3" borderId="9" xfId="0" applyNumberFormat="1" applyFont="1" applyFill="1" applyBorder="1" applyAlignment="1">
      <x:alignment horizontal="right"/>
    </x:xf>
    <x:xf numFmtId="202" fontId="6" fillId="0" borderId="8" xfId="0" applyNumberFormat="1" applyFont="1" applyFill="1" applyBorder="1" applyAlignment="1">
      <x:alignment horizontal="right"/>
    </x:xf>
    <x:xf numFmtId="202" fontId="6" fillId="0" borderId="9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200" fontId="6" fillId="0" borderId="8" xfId="0" applyNumberFormat="1" applyFont="1" applyFill="1" applyBorder="1"/>
    <x:xf numFmtId="200" fontId="6" fillId="0" borderId="9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18" fillId="6" borderId="0" xfId="0" applyNumberFormat="1" applyFont="1" applyFill="1" applyBorder="1"/>
    <x:xf numFmtId="0" fontId="18" fillId="6" borderId="0" xfId="0" applyNumberFormat="1" applyFont="1" applyFill="1" applyBorder="1" applyAlignment="1">
      <x:alignment wrapText="1"/>
    </x:xf>
    <x:xf numFmtId="0" fontId="18" fillId="6" borderId="1" xfId="0" applyNumberFormat="1" applyFont="1" applyFill="1" applyBorder="1"/>
    <x:xf numFmtId="0" fontId="18" fillId="6" borderId="1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9" fillId="9" borderId="0" xfId="0" applyNumberFormat="1" applyFont="1" applyFill="1" applyBorder="1"/>
    <x:xf numFmtId="0" fontId="19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8747a0cfa4199" /><Relationship Type="http://schemas.openxmlformats.org/officeDocument/2006/relationships/theme" Target="/xl/theme/theme1.xml" Id="Rce4033a5d52f42fe" /><Relationship Type="http://schemas.openxmlformats.org/officeDocument/2006/relationships/sharedStrings" Target="/xl/sharedStrings.xml" Id="Rda4461465a3546d0" /><Relationship Type="http://schemas.openxmlformats.org/officeDocument/2006/relationships/worksheet" Target="/xl/worksheets/sheet1.xml" Id="R8bded389025b4b9b" /><Relationship Type="http://schemas.openxmlformats.org/officeDocument/2006/relationships/worksheet" Target="/xl/worksheets/sheet2.xml" Id="R1630011d68444056" /><Relationship Type="http://schemas.openxmlformats.org/officeDocument/2006/relationships/worksheet" Target="/xl/worksheets/sheet3.xml" Id="R216b53c6aaa048c0" /><Relationship Type="http://schemas.openxmlformats.org/officeDocument/2006/relationships/worksheet" Target="/xl/worksheets/sheet4.xml" Id="R9169c00e138c45d3" /><Relationship Type="http://schemas.openxmlformats.org/officeDocument/2006/relationships/worksheet" Target="/xl/worksheets/sheet5.xml" Id="R9c87cd6aa3984e5f" /><Relationship Type="http://schemas.openxmlformats.org/officeDocument/2006/relationships/worksheet" Target="/xl/worksheets/sheet6.xml" Id="R3cae65fee5324e77" /><Relationship Type="http://schemas.openxmlformats.org/officeDocument/2006/relationships/worksheet" Target="/xl/worksheets/sheet7.xml" Id="Rfefceed189514299" /><Relationship Type="http://schemas.openxmlformats.org/officeDocument/2006/relationships/worksheet" Target="/xl/worksheets/sheet8.xml" Id="R77b54251680048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05c2bc456c45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All-In Development Cost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6-Story</c:v>
          </c:tx>
          <c:cat>
            <c:strRef>
              <c:f>'Executive Dashboard'!$A$24:$A$25</c:f>
              <c:strCache>
                <c:ptCount val="0"/>
              </c:strCache>
            </c:strRef>
          </c:cat>
          <c:val>
            <c:numRef>
              <c:f>'Executive Dashboard'!$B$24:$B$25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8-Story</c:v>
          </c:tx>
          <c:cat>
            <c:strRef>
              <c:f>'Executive Dashboard'!$A$24:$A$25</c:f>
              <c:strCache>
                <c:ptCount val="0"/>
              </c:strCache>
            </c:strRef>
          </c:cat>
          <c:val>
            <c:numRef>
              <c:f>'Executive Dashboard'!$C$24:$C$25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05c2bc456c455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ec69346a81c1493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4" hidden="0" customWidth="1"/>
    <x:col min="5" max="5" width="14" hidden="0" customWidth="1"/>
    <x:col min="6" max="6" width="54" hidden="0" customWidth="1"/>
  </x:cols>
  <x:sheetData>
    <x:row r="1" ht="28" customHeight="1">
      <x:c r="A1" s="5" t="str">
        <x:v>SOUTH ANDREWS CONSTRUCTION MODEL — ASSUMPTIONS</x:v>
      </x:c>
      <x:c r="B1" s="5"/>
      <x:c r="C1" s="5"/>
      <x:c r="D1" s="5"/>
      <x:c r="E1" s="5"/>
      <x:c r="F1" s="5"/>
    </x:row>
    <x:row r="2" ht="30" customHeight="1">
      <x:c r="A2" s="14" t="str">
        <x:v>Editable inputs in blue. Base program: 6 stories = 2 office floors; 8 stories = 3 office floors. Costs are planning allowances pending architect, contractor, FPL, and operator pricing.</x:v>
      </x:c>
      <x:c r="B2" s="14"/>
      <x:c r="C2" s="14"/>
      <x:c r="D2" s="14"/>
      <x:c r="E2" s="14"/>
      <x:c r="F2" s="14"/>
    </x:row>
    <x:row r="4" ht="22" customHeight="1">
      <x:c r="A4" s="24" t="str">
        <x:v>Category</x:v>
      </x:c>
      <x:c r="B4" s="24" t="str">
        <x:v>Input</x:v>
      </x:c>
      <x:c r="C4" s="24" t="str">
        <x:v>Units</x:v>
      </x:c>
      <x:c r="D4" s="24" t="str">
        <x:v>6-Story</x:v>
      </x:c>
      <x:c r="E4" s="24" t="str">
        <x:v>8-Story</x:v>
      </x:c>
      <x:c r="F4" s="24" t="str">
        <x:v>Source / Rationale</x:v>
      </x:c>
    </x:row>
    <x:row r="5" ht="20" customHeight="1">
      <x:c r="A5" s="72" t="str">
        <x:v>PROJECT / SITE</x:v>
      </x:c>
      <x:c r="B5" s="72"/>
      <x:c r="C5" s="72"/>
      <x:c r="D5" s="72"/>
      <x:c r="E5" s="72"/>
      <x:c r="F5" s="72"/>
    </x:row>
    <x:row r="6">
      <x:c r="A6" s="73" t="str"/>
      <x:c r="B6" s="73" t="str">
        <x:v>Land area</x:v>
      </x:c>
      <x:c r="C6" s="73" t="str">
        <x:v>SF</x:v>
      </x:c>
      <x:c r="D6" s="74" t="n">
        <x:v>38207</x:v>
      </x:c>
      <x:c r="E6" s="74" t="n">
        <x:v>38207</x:v>
      </x:c>
      <x:c r="F6" s="59" t="str">
        <x:v>AEI appraisal + boundary survey; 0.88 acre assemblage.</x:v>
      </x:c>
    </x:row>
    <x:row r="7">
      <x:c r="A7" s="73" t="str"/>
      <x:c r="B7" s="73" t="str">
        <x:v>Starting land offer</x:v>
      </x:c>
      <x:c r="C7" s="73" t="str">
        <x:v>$</x:v>
      </x:c>
      <x:c r="D7" s="75" t="n">
        <x:v>8000000</x:v>
      </x:c>
      <x:c r="E7" s="75" t="n">
        <x:v>8000000</x:v>
      </x:c>
      <x:c r="F7" s="59" t="str">
        <x:v>Buyer-side opening offer in Native Realty feasibility study.</x:v>
      </x:c>
    </x:row>
    <x:row r="8">
      <x:c r="A8" s="73" t="str"/>
      <x:c r="B8" s="73" t="str">
        <x:v>Acquisition closing costs</x:v>
      </x:c>
      <x:c r="C8" s="73" t="str">
        <x:v>% of land</x:v>
      </x:c>
      <x:c r="D8" s="76" t="n">
        <x:v>0.02</x:v>
      </x:c>
      <x:c r="E8" s="76" t="n">
        <x:v>0.02</x:v>
      </x:c>
      <x:c r="F8" s="59" t="str">
        <x:v>Planning allowance; excludes unusual title, transfer, or financing costs.</x:v>
      </x:c>
    </x:row>
    <x:row r="9">
      <x:c r="A9" s="73" t="str"/>
      <x:c r="B9" s="73" t="str">
        <x:v>Ground-floor gross area</x:v>
      </x:c>
      <x:c r="C9" s="73" t="str">
        <x:v>GSF</x:v>
      </x:c>
      <x:c r="D9" s="74" t="n">
        <x:v>28000</x:v>
      </x:c>
      <x:c r="E9" s="74" t="n">
        <x:v>28000</x:v>
      </x:c>
      <x:c r="F9" s="59" t="str">
        <x:v>Native Realty preliminary efficient building plate.</x:v>
      </x:c>
    </x:row>
    <x:row r="10">
      <x:c r="A10" s="73" t="str"/>
      <x:c r="B10" s="73" t="str">
        <x:v>Parking floor gross area</x:v>
      </x:c>
      <x:c r="C10" s="73" t="str">
        <x:v>GSF / level</x:v>
      </x:c>
      <x:c r="D10" s="74" t="n">
        <x:v>28000</x:v>
      </x:c>
      <x:c r="E10" s="74" t="n">
        <x:v>28000</x:v>
      </x:c>
      <x:c r="F10" s="59" t="str">
        <x:v>Native Realty massing study.</x:v>
      </x:c>
    </x:row>
    <x:row r="11">
      <x:c r="A11" s="73" t="str"/>
      <x:c r="B11" s="73" t="str">
        <x:v>Office / clinical floor gross area</x:v>
      </x:c>
      <x:c r="C11" s="73" t="str">
        <x:v>GSF / level</x:v>
      </x:c>
      <x:c r="D11" s="74" t="n">
        <x:v>24000</x:v>
      </x:c>
      <x:c r="E11" s="74" t="n">
        <x:v>24000</x:v>
      </x:c>
      <x:c r="F11" s="59" t="str">
        <x:v>Native Realty office cap estimate; reduced from parking plate for cores / setbacks.</x:v>
      </x:c>
    </x:row>
    <x:row r="12">
      <x:c r="A12" s="73" t="str"/>
      <x:c r="B12" s="73" t="str">
        <x:v>Parking efficiency</x:v>
      </x:c>
      <x:c r="C12" s="73" t="str">
        <x:v>GSF / stall</x:v>
      </x:c>
      <x:c r="D12" s="74" t="n">
        <x:v>360</x:v>
      </x:c>
      <x:c r="E12" s="74" t="n">
        <x:v>360</x:v>
      </x:c>
      <x:c r="F12" s="59" t="str">
        <x:v>More conservative than 340 SF/stall study assumption to preserve flat decks, AV circulation, and future conversion.</x:v>
      </x:c>
    </x:row>
    <x:row r="13">
      <x:c r="A13" s="73" t="str"/>
      <x:c r="B13" s="73" t="str">
        <x:v>Office rentable efficiency</x:v>
      </x:c>
      <x:c r="C13" s="73" t="str">
        <x:v>%</x:v>
      </x:c>
      <x:c r="D13" s="76" t="n">
        <x:v>0.85</x:v>
      </x:c>
      <x:c r="E13" s="76" t="n">
        <x:v>0.85</x:v>
      </x:c>
      <x:c r="F13" s="59" t="str">
        <x:v>Planning assumption for clinical / office floors.</x:v>
      </x:c>
    </x:row>
    <x:row r="14">
      <x:c r="A14" s="73" t="str"/>
      <x:c r="B14" s="73" t="str">
        <x:v>Ground-floor leasable med-tail + café</x:v>
      </x:c>
      <x:c r="C14" s="73" t="str">
        <x:v>RSF</x:v>
      </x:c>
      <x:c r="D14" s="74" t="n">
        <x:v>10000</x:v>
      </x:c>
      <x:c r="E14" s="74" t="n">
        <x:v>10000</x:v>
      </x:c>
      <x:c r="F14" s="59" t="str">
        <x:v>Activated South Andrews frontage; balance reserved for lobby, AV staging, loading and building systems.</x:v>
      </x:c>
    </x:row>
    <x:row r="15">
      <x:c r="A15" s="73" t="str"/>
      <x:c r="B15" s="73" t="str">
        <x:v>Café / food-service area</x:v>
      </x:c>
      <x:c r="C15" s="73" t="str">
        <x:v>RSF</x:v>
      </x:c>
      <x:c r="D15" s="74" t="n">
        <x:v>2500</x:v>
      </x:c>
      <x:c r="E15" s="74" t="n">
        <x:v>2500</x:v>
      </x:c>
      <x:c r="F15" s="59" t="str">
        <x:v>Included within ground-floor leasable area.</x:v>
      </x:c>
    </x:row>
    <x:row r="16">
      <x:c r="A16" s="73" t="str"/>
      <x:c r="B16" s="73" t="str">
        <x:v>Dedicated AV staging bays</x:v>
      </x:c>
      <x:c r="C16" s="73" t="str">
        <x:v>bays</x:v>
      </x:c>
      <x:c r="D16" s="74" t="n">
        <x:v>18</x:v>
      </x:c>
      <x:c r="E16" s="74" t="n">
        <x:v>18</x:v>
      </x:c>
      <x:c r="F16" s="59" t="str">
        <x:v>Secure ground-level staging; not included in structured parking stall count.</x:v>
      </x:c>
    </x:row>
    <x:row r="17" ht="20" customHeight="1">
      <x:c r="A17" s="72" t="str">
        <x:v>PROGRAM / MASSING</x:v>
      </x:c>
      <x:c r="B17" s="72"/>
      <x:c r="C17" s="72"/>
      <x:c r="D17" s="72"/>
      <x:c r="E17" s="72"/>
      <x:c r="F17" s="72"/>
    </x:row>
    <x:row r="18">
      <x:c r="A18" s="73" t="str"/>
      <x:c r="B18" s="73" t="str">
        <x:v>Total floors</x:v>
      </x:c>
      <x:c r="C18" s="73" t="str">
        <x:v>floors</x:v>
      </x:c>
      <x:c r="D18" s="74" t="n">
        <x:v>6</x:v>
      </x:c>
      <x:c r="E18" s="74" t="n">
        <x:v>8</x:v>
      </x:c>
      <x:c r="F18" s="59" t="str">
        <x:v>User-requested scenarios.</x:v>
      </x:c>
    </x:row>
    <x:row r="19">
      <x:c r="A19" s="73" t="str"/>
      <x:c r="B19" s="73" t="str">
        <x:v>Structured parking floors</x:v>
      </x:c>
      <x:c r="C19" s="73" t="str">
        <x:v>floors</x:v>
      </x:c>
      <x:c r="D19" s="74" t="n">
        <x:v>3</x:v>
      </x:c>
      <x:c r="E19" s="74" t="n">
        <x:v>4</x:v>
      </x:c>
      <x:c r="F19" s="59" t="str">
        <x:v>Balanced to preserve approximately 4+ structured stalls per 1,000 SF of office + med-tail.</x:v>
      </x:c>
    </x:row>
    <x:row r="20">
      <x:c r="A20" s="73" t="str"/>
      <x:c r="B20" s="73" t="str">
        <x:v>Office / clinical floors</x:v>
      </x:c>
      <x:c r="C20" s="73" t="str">
        <x:v>floors</x:v>
      </x:c>
      <x:c r="D20" s="74" t="n">
        <x:v>2</x:v>
      </x:c>
      <x:c r="E20" s="74" t="n">
        <x:v>3</x:v>
      </x:c>
      <x:c r="F20" s="59" t="str">
        <x:v>Recommended balanced stack; higher office count materially reduces medical parking ratio.</x:v>
      </x:c>
    </x:row>
    <x:row r="21">
      <x:c r="A21" s="73" t="str"/>
      <x:c r="B21" s="73" t="str">
        <x:v>Installed networked Level 2 ports</x:v>
      </x:c>
      <x:c r="C21" s="73" t="str">
        <x:v>ports</x:v>
      </x:c>
      <x:c r="D21" s="74" t="n">
        <x:v>40</x:v>
      </x:c>
      <x:c r="E21" s="74" t="n">
        <x:v>40</x:v>
      </x:c>
      <x:c r="F21" s="59" t="str">
        <x:v>User-requested starting installation; managed charging assumed.</x:v>
      </x:c>
    </x:row>
    <x:row r="22">
      <x:c r="A22" s="73" t="str"/>
      <x:c r="B22" s="73" t="str">
        <x:v>Total EV-ready capacity</x:v>
      </x:c>
      <x:c r="C22" s="73" t="str">
        <x:v>ports</x:v>
      </x:c>
      <x:c r="D22" s="74" t="n">
        <x:v>80</x:v>
      </x:c>
      <x:c r="E22" s="74" t="n">
        <x:v>120</x:v>
      </x:c>
      <x:c r="F22" s="59" t="str">
        <x:v>Install 40; rough-in expansion behind partner demand / LOIs.</x:v>
      </x:c>
    </x:row>
    <x:row r="23">
      <x:c r="A23" s="73" t="str"/>
      <x:c r="B23" s="73" t="str">
        <x:v>Rooftop solar capacity</x:v>
      </x:c>
      <x:c r="C23" s="73" t="str">
        <x:v>kWdc</x:v>
      </x:c>
      <x:c r="D23" s="74" t="n">
        <x:v>150</x:v>
      </x:c>
      <x:c r="E23" s="74" t="n">
        <x:v>200</x:v>
      </x:c>
      <x:c r="F23" s="59" t="str">
        <x:v>Cost-effective rooftop / amenity-canopy system; final size depends on roof mechanical and garden layout.</x:v>
      </x:c>
    </x:row>
    <x:row r="24">
      <x:c r="A24" s="73" t="str"/>
      <x:c r="B24" s="73" t="str">
        <x:v>Battery energy storage</x:v>
      </x:c>
      <x:c r="C24" s="73" t="str">
        <x:v>kWh</x:v>
      </x:c>
      <x:c r="D24" s="74" t="n">
        <x:v>500</x:v>
      </x:c>
      <x:c r="E24" s="74" t="n">
        <x:v>1000</x:v>
      </x:c>
      <x:c r="F24" s="59" t="str">
        <x:v>Peak shaving and resilience; not modeled as primary building power.</x:v>
      </x:c>
    </x:row>
    <x:row r="25">
      <x:c r="A25" s="73" t="str"/>
      <x:c r="B25" s="73" t="str">
        <x:v>Edge / fleet data room</x:v>
      </x:c>
      <x:c r="C25" s="73" t="str">
        <x:v>SF</x:v>
      </x:c>
      <x:c r="D25" s="74" t="n">
        <x:v>1500</x:v>
      </x:c>
      <x:c r="E25" s="74" t="n">
        <x:v>2000</x:v>
      </x:c>
      <x:c r="F25" s="59" t="str">
        <x:v>Teleoperations, networking, analytics and limited edge processing; not a hyperscale data center.</x:v>
      </x:c>
    </x:row>
    <x:row r="26">
      <x:c r="A26" s="73" t="str"/>
      <x:c r="B26" s="73" t="str">
        <x:v>Staff rooftop garden</x:v>
      </x:c>
      <x:c r="C26" s="73" t="str">
        <x:v>SF</x:v>
      </x:c>
      <x:c r="D26" s="74" t="n">
        <x:v>6000</x:v>
      </x:c>
      <x:c r="E26" s="74" t="n">
        <x:v>8000</x:v>
      </x:c>
      <x:c r="F26" s="59" t="str">
        <x:v>Shaded staff amenity with solar canopy integration where practical.</x:v>
      </x:c>
    </x:row>
    <x:row r="27">
      <x:c r="A27" s="73" t="str"/>
      <x:c r="B27" s="73" t="str">
        <x:v>Build + initial lease-up period</x:v>
      </x:c>
      <x:c r="C27" s="73" t="str">
        <x:v>months</x:v>
      </x:c>
      <x:c r="D27" s="74" t="n">
        <x:v>30</x:v>
      </x:c>
      <x:c r="E27" s="74" t="n">
        <x:v>34</x:v>
      </x:c>
      <x:c r="F27" s="59" t="str">
        <x:v>Planning duration; 8-story scenario carries additional structure and entitlement complexity.</x:v>
      </x:c>
    </x:row>
    <x:row r="28" ht="20" customHeight="1">
      <x:c r="A28" s="72" t="str">
        <x:v>HARD COST UNIT ASSUMPTIONS</x:v>
      </x:c>
      <x:c r="B28" s="72"/>
      <x:c r="C28" s="72"/>
      <x:c r="D28" s="72"/>
      <x:c r="E28" s="72"/>
      <x:c r="F28" s="72"/>
    </x:row>
    <x:row r="29">
      <x:c r="A29" s="73" t="str"/>
      <x:c r="B29" s="73" t="str">
        <x:v>Demolition allowance</x:v>
      </x:c>
      <x:c r="C29" s="73" t="str">
        <x:v>$</x:v>
      </x:c>
      <x:c r="D29" s="75" t="n">
        <x:v>400000</x:v>
      </x:c>
      <x:c r="E29" s="75" t="n">
        <x:v>400000</x:v>
      </x:c>
      <x:c r="F29" s="59" t="str">
        <x:v>Three existing one-story buildings; verify hazardous materials and utility disconnects.</x:v>
      </x:c>
    </x:row>
    <x:row r="30">
      <x:c r="A30" s="73" t="str"/>
      <x:c r="B30" s="73" t="str">
        <x:v>Flood / stormwater / sitework allowance</x:v>
      </x:c>
      <x:c r="C30" s="73" t="str">
        <x:v>$</x:v>
      </x:c>
      <x:c r="D30" s="75" t="n">
        <x:v>1250000</x:v>
      </x:c>
      <x:c r="E30" s="75" t="n">
        <x:v>1450000</x:v>
      </x:c>
      <x:c r="F30" s="59" t="str">
        <x:v>Entire site in FEMA Zone AE; early allowance for drainage, elevation and resilient site systems.</x:v>
      </x:c>
    </x:row>
    <x:row r="31">
      <x:c r="A31" s="73" t="str"/>
      <x:c r="B31" s="73" t="str">
        <x:v>Ground podium / active frontage shell</x:v>
      </x:c>
      <x:c r="C31" s="73" t="str">
        <x:v>$ / GSF</x:v>
      </x:c>
      <x:c r="D31" s="77" t="n">
        <x:v>250</x:v>
      </x:c>
      <x:c r="E31" s="77" t="n">
        <x:v>250</x:v>
      </x:c>
      <x:c r="F31" s="59" t="str">
        <x:v>Concrete podium, façade, lobby, service spaces and AV-ready ground level; planning estimate.</x:v>
      </x:c>
    </x:row>
    <x:row r="32">
      <x:c r="A32" s="73" t="str"/>
      <x:c r="B32" s="73" t="str">
        <x:v>Structured parking concrete</x:v>
      </x:c>
      <x:c r="C32" s="73" t="str">
        <x:v>$ / GSF</x:v>
      </x:c>
      <x:c r="D32" s="77" t="n">
        <x:v>115</x:v>
      </x:c>
      <x:c r="E32" s="77" t="n">
        <x:v>115</x:v>
      </x:c>
      <x:c r="F32" s="59" t="str">
        <x:v>2026 WGI national median $98.75/SF, adjusted upward for South Florida, HVHZ, flat-floor adaptability and mixed-use complexity.</x:v>
      </x:c>
    </x:row>
    <x:row r="33">
      <x:c r="A33" s="73" t="str"/>
      <x:c r="B33" s="73" t="str">
        <x:v>Office / medical-ready shell &amp; core</x:v>
      </x:c>
      <x:c r="C33" s="73" t="str">
        <x:v>$ / GSF</x:v>
      </x:c>
      <x:c r="D33" s="77" t="n">
        <x:v>290</x:v>
      </x:c>
      <x:c r="E33" s="77" t="n">
        <x:v>290</x:v>
      </x:c>
      <x:c r="F33" s="59" t="str">
        <x:v>HVHZ shell/core with elevated MEP backbone; excludes tenant clinical build-outs.</x:v>
      </x:c>
    </x:row>
    <x:row r="34">
      <x:c r="A34" s="73" t="str"/>
      <x:c r="B34" s="73" t="str">
        <x:v>Office / clinical tenant improvements</x:v>
      </x:c>
      <x:c r="C34" s="73" t="str">
        <x:v>$ / RSF</x:v>
      </x:c>
      <x:c r="D34" s="77" t="n">
        <x:v>135</x:v>
      </x:c>
      <x:c r="E34" s="77" t="n">
        <x:v>135</x:v>
      </x:c>
      <x:c r="F34" s="59" t="str">
        <x:v>Moderate medical-office TI allowance; imaging / ASC space would be materially higher.</x:v>
      </x:c>
    </x:row>
    <x:row r="35">
      <x:c r="A35" s="73" t="str"/>
      <x:c r="B35" s="73" t="str">
        <x:v>Ground med-tail / café TI allowance</x:v>
      </x:c>
      <x:c r="C35" s="73" t="str">
        <x:v>$ / RSF</x:v>
      </x:c>
      <x:c r="D35" s="77" t="n">
        <x:v>106.25</x:v>
      </x:c>
      <x:c r="E35" s="77" t="n">
        <x:v>106.25</x:v>
      </x:c>
      <x:c r="F35" s="59" t="str">
        <x:v>Landlord allowance; operator-specific kitchen and medical equipment may be tenant-funded.</x:v>
      </x:c>
    </x:row>
    <x:row r="36">
      <x:c r="A36" s="73" t="str"/>
      <x:c r="B36" s="73" t="str">
        <x:v>Installed Level 2 port cost</x:v>
      </x:c>
      <x:c r="C36" s="73" t="str">
        <x:v>$ / port</x:v>
      </x:c>
      <x:c r="D36" s="77" t="n">
        <x:v>7500</x:v>
      </x:c>
      <x:c r="E36" s="77" t="n">
        <x:v>7500</x:v>
      </x:c>
      <x:c r="F36" s="59" t="str">
        <x:v>DOE public/workplace equipment + installation benchmarks, with network and new-build coordination allowance.</x:v>
      </x:c>
    </x:row>
    <x:row r="37">
      <x:c r="A37" s="73" t="str"/>
      <x:c r="B37" s="73" t="str">
        <x:v>Additional EV-ready rough-in</x:v>
      </x:c>
      <x:c r="C37" s="73" t="str">
        <x:v>$ / port</x:v>
      </x:c>
      <x:c r="D37" s="77" t="n">
        <x:v>1250</x:v>
      </x:c>
      <x:c r="E37" s="77" t="n">
        <x:v>1250</x:v>
      </x:c>
      <x:c r="F37" s="59" t="str">
        <x:v>Conduit, pathways, panel allocation and branch-circuit readiness; no charger hardware.</x:v>
      </x:c>
    </x:row>
    <x:row r="38">
      <x:c r="A38" s="73" t="str"/>
      <x:c r="B38" s="73" t="str">
        <x:v>FPL service / transformer / switchgear allowance</x:v>
      </x:c>
      <x:c r="C38" s="73" t="str">
        <x:v>$</x:v>
      </x:c>
      <x:c r="D38" s="75" t="n">
        <x:v>1500000</x:v>
      </x:c>
      <x:c r="E38" s="75" t="n">
        <x:v>1800000</x:v>
      </x:c>
      <x:c r="F38" s="59" t="str">
        <x:v>High-uncertainty placeholder pending formal FPL load study and transformer / feeder scope.</x:v>
      </x:c>
    </x:row>
    <x:row r="39">
      <x:c r="A39" s="73" t="str"/>
      <x:c r="B39" s="73" t="str">
        <x:v>Dedicated AV circulation / security systems</x:v>
      </x:c>
      <x:c r="C39" s="73" t="str">
        <x:v>$</x:v>
      </x:c>
      <x:c r="D39" s="75" t="n">
        <x:v>1250000</x:v>
      </x:c>
      <x:c r="E39" s="75" t="n">
        <x:v>1400000</x:v>
      </x:c>
      <x:c r="F39" s="59" t="str">
        <x:v>Separate controlled lanes, gates, LPR, bollards, wayfinding and secure staging systems.</x:v>
      </x:c>
    </x:row>
    <x:row r="40">
      <x:c r="A40" s="73" t="str"/>
      <x:c r="B40" s="73" t="str">
        <x:v>Solar installed cost</x:v>
      </x:c>
      <x:c r="C40" s="73" t="str">
        <x:v>$ / Wdc</x:v>
      </x:c>
      <x:c r="D40" s="77" t="n">
        <x:v>2.4</x:v>
      </x:c>
      <x:c r="E40" s="77" t="n">
        <x:v>2.4</x:v>
      </x:c>
      <x:c r="F40" s="59" t="str">
        <x:v>Planning benchmark; South Florida wind design and canopy portions may increase cost.</x:v>
      </x:c>
    </x:row>
    <x:row r="41">
      <x:c r="A41" s="73" t="str"/>
      <x:c r="B41" s="73" t="str">
        <x:v>BESS installed cost</x:v>
      </x:c>
      <x:c r="C41" s="73" t="str">
        <x:v>$ / kWh</x:v>
      </x:c>
      <x:c r="D41" s="77" t="n">
        <x:v>600</x:v>
      </x:c>
      <x:c r="E41" s="77" t="n">
        <x:v>550</x:v>
      </x:c>
      <x:c r="F41" s="59" t="str">
        <x:v>Behind-the-meter commercial planning range; larger system receives scale benefit.</x:v>
      </x:c>
    </x:row>
    <x:row r="42">
      <x:c r="A42" s="73" t="str"/>
      <x:c r="B42" s="73" t="str">
        <x:v>Edge data / teleoperations infrastructure</x:v>
      </x:c>
      <x:c r="C42" s="73" t="str">
        <x:v>$</x:v>
      </x:c>
      <x:c r="D42" s="75" t="n">
        <x:v>1250000</x:v>
      </x:c>
      <x:c r="E42" s="75" t="n">
        <x:v>1750000</x:v>
      </x:c>
      <x:c r="F42" s="59" t="str">
        <x:v>Racks, redundant fiber, cooling, UPS, fire protection and controls; excludes major compute hardware leases.</x:v>
      </x:c>
    </x:row>
    <x:row r="43">
      <x:c r="A43" s="73" t="str"/>
      <x:c r="B43" s="73" t="str">
        <x:v>Rooftop garden / shade amenity</x:v>
      </x:c>
      <x:c r="C43" s="73" t="str">
        <x:v>$ / SF</x:v>
      </x:c>
      <x:c r="D43" s="77" t="n">
        <x:v>90</x:v>
      </x:c>
      <x:c r="E43" s="77" t="n">
        <x:v>90</x:v>
      </x:c>
      <x:c r="F43" s="59" t="str">
        <x:v>Landscape, waterproofing protection, shade, seating and access allowance.</x:v>
      </x:c>
    </x:row>
    <x:row r="44" ht="20" customHeight="1">
      <x:c r="A44" s="72" t="str">
        <x:v>SOFT COSTS / FINANCING</x:v>
      </x:c>
      <x:c r="B44" s="72"/>
      <x:c r="C44" s="72"/>
      <x:c r="D44" s="72"/>
      <x:c r="E44" s="72"/>
      <x:c r="F44" s="72"/>
    </x:row>
    <x:row r="45">
      <x:c r="A45" s="73" t="str"/>
      <x:c r="B45" s="73" t="str">
        <x:v>Architecture + engineering</x:v>
      </x:c>
      <x:c r="C45" s="73" t="str">
        <x:v>% hard cost</x:v>
      </x:c>
      <x:c r="D45" s="76" t="n">
        <x:v>0.08</x:v>
      </x:c>
      <x:c r="E45" s="76" t="n">
        <x:v>0.08</x:v>
      </x:c>
      <x:c r="F45" s="59" t="str">
        <x:v>Includes architecture, structural, civil, MEP, traffic and specialty mobility design.</x:v>
      </x:c>
    </x:row>
    <x:row r="46">
      <x:c r="A46" s="73" t="str"/>
      <x:c r="B46" s="73" t="str">
        <x:v>Permits + impact + utility fees</x:v>
      </x:c>
      <x:c r="C46" s="73" t="str">
        <x:v>% hard cost</x:v>
      </x:c>
      <x:c r="D46" s="76" t="n">
        <x:v>0.05</x:v>
      </x:c>
      <x:c r="E46" s="76" t="n">
        <x:v>0.05</x:v>
      </x:c>
      <x:c r="F46" s="59" t="str">
        <x:v>Planning allowance; utility and impact fees must be verified.</x:v>
      </x:c>
    </x:row>
    <x:row r="47">
      <x:c r="A47" s="73" t="str"/>
      <x:c r="B47" s="73" t="str">
        <x:v>Developer, legal, insurance and owner costs</x:v>
      </x:c>
      <x:c r="C47" s="73" t="str">
        <x:v>% hard cost</x:v>
      </x:c>
      <x:c r="D47" s="76" t="n">
        <x:v>0.04</x:v>
      </x:c>
      <x:c r="E47" s="76" t="n">
        <x:v>0.04</x:v>
      </x:c>
      <x:c r="F47" s="59" t="str">
        <x:v>Planning allowance.</x:v>
      </x:c>
    </x:row>
    <x:row r="48">
      <x:c r="A48" s="73" t="str"/>
      <x:c r="B48" s="73" t="str">
        <x:v>Construction contingency</x:v>
      </x:c>
      <x:c r="C48" s="73" t="str">
        <x:v>% hard cost</x:v>
      </x:c>
      <x:c r="D48" s="76" t="n">
        <x:v>0.08</x:v>
      </x:c>
      <x:c r="E48" s="76" t="n">
        <x:v>0.08</x:v>
      </x:c>
      <x:c r="F48" s="59" t="str">
        <x:v>Pre-schematic design contingency; should not be reduced before contractor validation.</x:v>
      </x:c>
    </x:row>
    <x:row r="49">
      <x:c r="A49" s="73" t="str"/>
      <x:c r="B49" s="73" t="str">
        <x:v>Leasing / pre-opening</x:v>
      </x:c>
      <x:c r="C49" s="73" t="str">
        <x:v>$ / office RSF</x:v>
      </x:c>
      <x:c r="D49" s="77" t="n">
        <x:v>25</x:v>
      </x:c>
      <x:c r="E49" s="77" t="n">
        <x:v>25</x:v>
      </x:c>
      <x:c r="F49" s="59" t="str">
        <x:v>Commission, marketing, carry and commissioning allowance in tenant-ready case.</x:v>
      </x:c>
    </x:row>
    <x:row r="50">
      <x:c r="A50" s="73" t="str"/>
      <x:c r="B50" s="73" t="str">
        <x:v>Construction loan-to-cost</x:v>
      </x:c>
      <x:c r="C50" s="73" t="str">
        <x:v>%</x:v>
      </x:c>
      <x:c r="D50" s="76" t="n">
        <x:v>0.6</x:v>
      </x:c>
      <x:c r="E50" s="76" t="n">
        <x:v>0.6</x:v>
      </x:c>
      <x:c r="F50" s="59" t="str">
        <x:v>Planning debt assumption.</x:v>
      </x:c>
    </x:row>
    <x:row r="51">
      <x:c r="A51" s="73" t="str"/>
      <x:c r="B51" s="73" t="str">
        <x:v>Construction loan rate</x:v>
      </x:c>
      <x:c r="C51" s="73" t="str">
        <x:v>%</x:v>
      </x:c>
      <x:c r="D51" s="76" t="n">
        <x:v>0.08</x:v>
      </x:c>
      <x:c r="E51" s="76" t="n">
        <x:v>0.08</x:v>
      </x:c>
      <x:c r="F51" s="59" t="str">
        <x:v>Planning all-in rate; update with lender term sheet.</x:v>
      </x:c>
    </x:row>
    <x:row r="52">
      <x:c r="A52" s="73" t="str"/>
      <x:c r="B52" s="73" t="str">
        <x:v>Average outstanding loan balance</x:v>
      </x:c>
      <x:c r="C52" s="73" t="str">
        <x:v>% of loan</x:v>
      </x:c>
      <x:c r="D52" s="76" t="n">
        <x:v>0.55</x:v>
      </x:c>
      <x:c r="E52" s="76" t="n">
        <x:v>0.55</x:v>
      </x:c>
      <x:c r="F52" s="59" t="str">
        <x:v>Simplified construction interest method.</x:v>
      </x:c>
    </x:row>
    <x:row r="53">
      <x:c r="A53" s="73" t="str"/>
      <x:c r="B53" s="73" t="str">
        <x:v>Financing fee</x:v>
      </x:c>
      <x:c r="C53" s="73" t="str">
        <x:v>% of loan</x:v>
      </x:c>
      <x:c r="D53" s="76" t="n">
        <x:v>0.015</x:v>
      </x:c>
      <x:c r="E53" s="76" t="n">
        <x:v>0.015</x:v>
      </x:c>
      <x:c r="F53" s="59" t="str">
        <x:v>Origination / lender fee allowance.</x:v>
      </x:c>
    </x:row>
    <x:row r="54" ht="20" customHeight="1">
      <x:c r="A54" s="72" t="str">
        <x:v>OPERATING ASSUMPTIONS</x:v>
      </x:c>
      <x:c r="B54" s="72"/>
      <x:c r="C54" s="72"/>
      <x:c r="D54" s="72"/>
      <x:c r="E54" s="72"/>
      <x:c r="F54" s="72"/>
    </x:row>
    <x:row r="55">
      <x:c r="A55" s="73" t="str"/>
      <x:c r="B55" s="73" t="str">
        <x:v>Office / medical rent</x:v>
      </x:c>
      <x:c r="C55" s="73" t="str">
        <x:v>$ / RSF / yr</x:v>
      </x:c>
      <x:c r="D55" s="77" t="n">
        <x:v>50</x:v>
      </x:c>
      <x:c r="E55" s="77" t="n">
        <x:v>50</x:v>
      </x:c>
      <x:c r="F55" s="59" t="str">
        <x:v>Illustrative broker-underwriting input, not a signed lease.</x:v>
      </x:c>
    </x:row>
    <x:row r="56">
      <x:c r="A56" s="73" t="str"/>
      <x:c r="B56" s="73" t="str">
        <x:v>Office occupancy</x:v>
      </x:c>
      <x:c r="C56" s="73" t="str">
        <x:v>%</x:v>
      </x:c>
      <x:c r="D56" s="76" t="n">
        <x:v>0.93</x:v>
      </x:c>
      <x:c r="E56" s="76" t="n">
        <x:v>0.93</x:v>
      </x:c>
      <x:c r="F56" s="59" t="str">
        <x:v>Stabilized assumption.</x:v>
      </x:c>
    </x:row>
    <x:row r="57">
      <x:c r="A57" s="73" t="str"/>
      <x:c r="B57" s="73" t="str">
        <x:v>Ground med-tail / café rent</x:v>
      </x:c>
      <x:c r="C57" s="73" t="str">
        <x:v>$ / RSF / yr</x:v>
      </x:c>
      <x:c r="D57" s="77" t="n">
        <x:v>45</x:v>
      </x:c>
      <x:c r="E57" s="77" t="n">
        <x:v>45</x:v>
      </x:c>
      <x:c r="F57" s="59" t="str">
        <x:v>Illustrative blended NNN rent.</x:v>
      </x:c>
    </x:row>
    <x:row r="58">
      <x:c r="A58" s="73" t="str"/>
      <x:c r="B58" s="73" t="str">
        <x:v>Ground occupancy</x:v>
      </x:c>
      <x:c r="C58" s="73" t="str">
        <x:v>%</x:v>
      </x:c>
      <x:c r="D58" s="76" t="n">
        <x:v>0.95</x:v>
      </x:c>
      <x:c r="E58" s="76" t="n">
        <x:v>0.95</x:v>
      </x:c>
      <x:c r="F58" s="59" t="str">
        <x:v>Stabilized assumption.</x:v>
      </x:c>
    </x:row>
    <x:row r="59">
      <x:c r="A59" s="73" t="str"/>
      <x:c r="B59" s="73" t="str">
        <x:v>Edge / data room rent</x:v>
      </x:c>
      <x:c r="C59" s="73" t="str">
        <x:v>$ / SF / yr</x:v>
      </x:c>
      <x:c r="D59" s="77" t="n">
        <x:v>55</x:v>
      </x:c>
      <x:c r="E59" s="77" t="n">
        <x:v>55</x:v>
      </x:c>
      <x:c r="F59" s="59" t="str">
        <x:v>Illustrative specialized space rent.</x:v>
      </x:c>
    </x:row>
    <x:row r="60">
      <x:c r="A60" s="73" t="str"/>
      <x:c r="B60" s="73" t="str">
        <x:v>Monetized structured parking share</x:v>
      </x:c>
      <x:c r="C60" s="73" t="str">
        <x:v>% stalls</x:v>
      </x:c>
      <x:c r="D60" s="76" t="n">
        <x:v>0.55</x:v>
      </x:c>
      <x:c r="E60" s="76" t="n">
        <x:v>0.55</x:v>
      </x:c>
      <x:c r="F60" s="59" t="str">
        <x:v>Remaining stalls support clinical tenants, ADA, circulation and shared use.</x:v>
      </x:c>
    </x:row>
    <x:row r="61">
      <x:c r="A61" s="73" t="str"/>
      <x:c r="B61" s="73" t="str">
        <x:v>Parking revenue</x:v>
      </x:c>
      <x:c r="C61" s="73" t="str">
        <x:v>$ / stall / mo</x:v>
      </x:c>
      <x:c r="D61" s="77" t="n">
        <x:v>275</x:v>
      </x:c>
      <x:c r="E61" s="77" t="n">
        <x:v>275</x:v>
      </x:c>
      <x:c r="F61" s="59" t="str">
        <x:v>Blended transient / monthly / fleet equivalent.</x:v>
      </x:c>
    </x:row>
    <x:row r="62">
      <x:c r="A62" s="73" t="str"/>
      <x:c r="B62" s="73" t="str">
        <x:v>EV charging net revenue</x:v>
      </x:c>
      <x:c r="C62" s="73" t="str">
        <x:v>$ / port / mo</x:v>
      </x:c>
      <x:c r="D62" s="77" t="n">
        <x:v>250</x:v>
      </x:c>
      <x:c r="E62" s="77" t="n">
        <x:v>250</x:v>
      </x:c>
      <x:c r="F62" s="59" t="str">
        <x:v>After electricity, network and payment costs; utilization-sensitive.</x:v>
      </x:c>
    </x:row>
    <x:row r="63">
      <x:c r="A63" s="73" t="str"/>
      <x:c r="B63" s="73" t="str">
        <x:v>AV staging / secure bay revenue</x:v>
      </x:c>
      <x:c r="C63" s="73" t="str">
        <x:v>$ / bay / mo</x:v>
      </x:c>
      <x:c r="D63" s="77" t="n">
        <x:v>900</x:v>
      </x:c>
      <x:c r="E63" s="77" t="n">
        <x:v>900</x:v>
      </x:c>
      <x:c r="F63" s="59" t="str">
        <x:v>Illustrative operator master-lease equivalent.</x:v>
      </x:c>
    </x:row>
    <x:row r="64">
      <x:c r="A64" s="73" t="str"/>
      <x:c r="B64" s="73" t="str">
        <x:v>Office / retail / data operating expense</x:v>
      </x:c>
      <x:c r="C64" s="73" t="str">
        <x:v>% EGI</x:v>
      </x:c>
      <x:c r="D64" s="76" t="n">
        <x:v>0.25</x:v>
      </x:c>
      <x:c r="E64" s="76" t="n">
        <x:v>0.25</x:v>
      </x:c>
      <x:c r="F64" s="59" t="str">
        <x:v>Blended owner expense after recoveries.</x:v>
      </x:c>
    </x:row>
    <x:row r="65">
      <x:c r="A65" s="73" t="str"/>
      <x:c r="B65" s="73" t="str">
        <x:v>Parking / EV / AV operating expense</x:v>
      </x:c>
      <x:c r="C65" s="73" t="str">
        <x:v>% EGI</x:v>
      </x:c>
      <x:c r="D65" s="76" t="n">
        <x:v>0.35</x:v>
      </x:c>
      <x:c r="E65" s="76" t="n">
        <x:v>0.35</x:v>
      </x:c>
      <x:c r="F65" s="59" t="str">
        <x:v>Security, maintenance, network, energy management and operations.</x:v>
      </x:c>
    </x:row>
    <x:row r="66">
      <x:c r="A66" s="73" t="str"/>
      <x:c r="B66" s="73" t="str">
        <x:v>Target stabilized yield on cost</x:v>
      </x:c>
      <x:c r="C66" s="73" t="str">
        <x:v>%</x:v>
      </x:c>
      <x:c r="D66" s="76" t="n">
        <x:v>0.07</x:v>
      </x:c>
      <x:c r="E66" s="76" t="n">
        <x:v>0.07</x:v>
      </x:c>
      <x:c r="F66" s="59" t="str">
        <x:v>Institutional planning hurdle before tax incentives.</x:v>
      </x:c>
    </x:row>
    <x:row r="67">
      <x:c r="A67" s="73" t="str"/>
      <x:c r="B67" s="73" t="str">
        <x:v>Illustrative exit cap rate</x:v>
      </x:c>
      <x:c r="C67" s="73" t="str">
        <x:v>%</x:v>
      </x:c>
      <x:c r="D67" s="76" t="n">
        <x:v>0.0725</x:v>
      </x:c>
      <x:c r="E67" s="76" t="n">
        <x:v>0.0725</x:v>
      </x:c>
      <x:c r="F67" s="59" t="str">
        <x:v>Specialty mixed-use / parking-heavy asset assumption.</x:v>
      </x:c>
    </x:row>
    <x:row r="68" ht="20" customHeight="1">
      <x:c r="A68" s="72" t="str">
        <x:v>ENERGY LOAD ASSUMPTIONS</x:v>
      </x:c>
      <x:c r="B68" s="72"/>
      <x:c r="C68" s="72"/>
      <x:c r="D68" s="72"/>
      <x:c r="E68" s="72"/>
      <x:c r="F68" s="72"/>
    </x:row>
    <x:row r="69">
      <x:c r="A69" s="73" t="str"/>
      <x:c r="B69" s="73" t="str">
        <x:v>Level 2 nameplate power</x:v>
      </x:c>
      <x:c r="C69" s="73" t="str">
        <x:v>kW / port</x:v>
      </x:c>
      <x:c r="D69" s="78" t="n">
        <x:v>9.6</x:v>
      </x:c>
      <x:c r="E69" s="78" t="n">
        <x:v>9.6</x:v>
      </x:c>
      <x:c r="F69" s="59" t="str">
        <x:v>Existing electrical load model base plan.</x:v>
      </x:c>
    </x:row>
    <x:row r="70">
      <x:c r="A70" s="73" t="str"/>
      <x:c r="B70" s="73" t="str">
        <x:v>Managed charging coincidence factor</x:v>
      </x:c>
      <x:c r="C70" s="73" t="str">
        <x:v>%</x:v>
      </x:c>
      <x:c r="D70" s="76" t="n">
        <x:v>0.5</x:v>
      </x:c>
      <x:c r="E70" s="76" t="n">
        <x:v>0.5</x:v>
      </x:c>
      <x:c r="F70" s="59" t="str">
        <x:v>Active load management assumption.</x:v>
      </x:c>
    </x:row>
    <x:row r="71">
      <x:c r="A71" s="73" t="str"/>
      <x:c r="B71" s="73" t="str">
        <x:v>Office peak density</x:v>
      </x:c>
      <x:c r="C71" s="73" t="str">
        <x:v>W / GSF</x:v>
      </x:c>
      <x:c r="D71" s="78" t="n">
        <x:v>5</x:v>
      </x:c>
      <x:c r="E71" s="78" t="n">
        <x:v>5</x:v>
      </x:c>
      <x:c r="F71" s="59" t="str">
        <x:v>Early planning load only; imaging and clinical equipment must be added by tenant.</x:v>
      </x:c>
    </x:row>
    <x:row r="72">
      <x:c r="A72" s="73" t="str"/>
      <x:c r="B72" s="73" t="str">
        <x:v>Ground-floor peak density</x:v>
      </x:c>
      <x:c r="C72" s="73" t="str">
        <x:v>W / GSF</x:v>
      </x:c>
      <x:c r="D72" s="78" t="n">
        <x:v>6</x:v>
      </x:c>
      <x:c r="E72" s="78" t="n">
        <x:v>6</x:v>
      </x:c>
      <x:c r="F72" s="59" t="str">
        <x:v>Retail, café, lobby and operations planning load.</x:v>
      </x:c>
    </x:row>
    <x:row r="73">
      <x:c r="A73" s="73" t="str"/>
      <x:c r="B73" s="73" t="str">
        <x:v>Garage ancillary peak density</x:v>
      </x:c>
      <x:c r="C73" s="73" t="str">
        <x:v>W / GSF</x:v>
      </x:c>
      <x:c r="D73" s="78" t="n">
        <x:v>0.5</x:v>
      </x:c>
      <x:c r="E73" s="78" t="n">
        <x:v>0.5</x:v>
      </x:c>
      <x:c r="F73" s="59" t="str">
        <x:v>Lighting, ventilation, access and controls.</x:v>
      </x:c>
    </x:row>
    <x:row r="74">
      <x:c r="A74" s="73" t="str"/>
      <x:c r="B74" s="73" t="str">
        <x:v>Electrical service headroom</x:v>
      </x:c>
      <x:c r="C74" s="73" t="str">
        <x:v>%</x:v>
      </x:c>
      <x:c r="D74" s="76" t="n">
        <x:v>0.25</x:v>
      </x:c>
      <x:c r="E74" s="76" t="n">
        <x:v>0.25</x:v>
      </x:c>
      <x:c r="F74" s="59" t="str">
        <x:v>Planning reserve before future DC fast charging.</x:v>
      </x:c>
    </x:row>
    <x:row r="75">
      <x:c r="A75" s="73" t="str"/>
      <x:c r="B75" s="73" t="str">
        <x:v>Recommended utility service target</x:v>
      </x:c>
      <x:c r="C75" s="73" t="str">
        <x:v>MVA</x:v>
      </x:c>
      <x:c r="D75" s="78" t="n">
        <x:v>1.5</x:v>
      </x:c>
      <x:c r="E75" s="78" t="n">
        <x:v>2</x:v>
      </x:c>
      <x:c r="F75" s="59" t="str">
        <x:v>Preliminary target only; FPL and engineer must confirm.</x:v>
      </x:c>
    </x:row>
  </x:sheetData>
  <x:mergeCells>
    <x:mergeCell ref="A1:F1"/>
    <x:mergeCell ref="A2:F2"/>
    <x:mergeCell ref="A5:F5"/>
    <x:mergeCell ref="A17:F17"/>
    <x:mergeCell ref="A28:F28"/>
    <x:mergeCell ref="A44:F44"/>
    <x:mergeCell ref="A54:F54"/>
    <x:mergeCell ref="A68:F6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14" hidden="0" customWidth="1"/>
    <x:col min="4" max="4" width="22" hidden="0" customWidth="1"/>
    <x:col min="5" max="5" width="27" hidden="0" customWidth="1"/>
    <x:col min="6" max="6" width="14" hidden="0" customWidth="1"/>
    <x:col min="7" max="7" width="22" hidden="0" customWidth="1"/>
    <x:col min="8" max="8" width="48" hidden="0" customWidth="1"/>
  </x:cols>
  <x:sheetData>
    <x:row r="1" ht="28" customHeight="1">
      <x:c r="A1" s="5" t="str">
        <x:v>PROGRAM &amp; MASSING COMPARISON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Recommended balanced stacks preserve medical-office parking and a secure ground-level AV operation while keeping South Andrews active and pedestrian-oriented.</x:v>
      </x:c>
      <x:c r="B2" s="14"/>
      <x:c r="C2" s="14"/>
      <x:c r="D2" s="14"/>
      <x:c r="E2" s="14"/>
      <x:c r="F2" s="14"/>
      <x:c r="G2" s="14"/>
      <x:c r="H2" s="14"/>
    </x:row>
    <x:row r="4" ht="22" customHeight="1">
      <x:c r="A4" s="24" t="str">
        <x:v>Metric</x:v>
      </x:c>
      <x:c r="B4" s="24" t="str">
        <x:v>6-Story</x:v>
      </x:c>
      <x:c r="C4" s="24" t="str">
        <x:v>Unit</x:v>
      </x:c>
      <x:c r="D4" s="24" t="str">
        <x:v>8-Story</x:v>
      </x:c>
      <x:c r="E4" s="24" t="str">
        <x:v>Unit</x:v>
      </x:c>
      <x:c r="F4" s="24" t="str">
        <x:v>Design / Decision Note</x:v>
      </x:c>
      <x:c r="G4" s="24"/>
      <x:c r="H4" s="24"/>
    </x:row>
    <x:row r="5">
      <x:c r="A5" t="str">
        <x:v>Total floors</x:v>
      </x:c>
      <x:c r="B5" s="88" t="n">
        <x:f>'Assumptions'!D18</x:f>
        <x:v>6</x:v>
      </x:c>
      <x:c r="C5" t="str">
        <x:v>floors</x:v>
      </x:c>
      <x:c r="D5" s="88" t="n">
        <x:f>'Assumptions'!E18</x:f>
        <x:v>8</x:v>
      </x:c>
      <x:c r="E5" t="str">
        <x:v>floors</x:v>
      </x:c>
      <x:c r="F5" s="92" t="str">
        <x:v>User-requested comparison.</x:v>
      </x:c>
      <x:c r="G5" s="92"/>
      <x:c r="H5" s="92"/>
    </x:row>
    <x:row r="6">
      <x:c r="A6" t="str">
        <x:v>Office / clinical floors</x:v>
      </x:c>
      <x:c r="B6" s="88" t="n">
        <x:f>'Assumptions'!D20</x:f>
        <x:v>2</x:v>
      </x:c>
      <x:c r="C6" t="str">
        <x:v>floors</x:v>
      </x:c>
      <x:c r="D6" s="88" t="n">
        <x:f>'Assumptions'!E20</x:f>
        <x:v>3</x:v>
      </x:c>
      <x:c r="E6" t="str">
        <x:v>floors</x:v>
      </x:c>
      <x:c r="F6" s="92" t="str">
        <x:v>Recommended answer: 2 floors in the 6-story scheme; 3 floors in the 8-story scheme.</x:v>
      </x:c>
      <x:c r="G6" s="92"/>
      <x:c r="H6" s="92"/>
    </x:row>
    <x:row r="7">
      <x:c r="A7" t="str">
        <x:v>Office / clinical gross area</x:v>
      </x:c>
      <x:c r="B7" s="88" t="n">
        <x:f>'Assumptions'!D20*'Assumptions'!D11</x:f>
        <x:v>48000</x:v>
      </x:c>
      <x:c r="C7" t="str">
        <x:v>GSF</x:v>
      </x:c>
      <x:c r="D7" s="88" t="n">
        <x:f>'Assumptions'!E20*'Assumptions'!E11</x:f>
        <x:v>72000</x:v>
      </x:c>
      <x:c r="E7" t="str">
        <x:v>GSF</x:v>
      </x:c>
      <x:c r="F7" s="92" t="str">
        <x:v>Medical-ready shell/core; tenant improvements modeled separately.</x:v>
      </x:c>
      <x:c r="G7" s="92"/>
      <x:c r="H7" s="92"/>
    </x:row>
    <x:row r="8">
      <x:c r="A8" t="str">
        <x:v>Office rentable area</x:v>
      </x:c>
      <x:c r="B8" s="88" t="n">
        <x:f>B7*'Assumptions'!D13</x:f>
        <x:v>40800</x:v>
      </x:c>
      <x:c r="C8" t="str">
        <x:v>RSF</x:v>
      </x:c>
      <x:c r="D8" s="88" t="n">
        <x:f>D7*'Assumptions'!E13</x:f>
        <x:v>61200</x:v>
      </x:c>
      <x:c r="E8" t="str">
        <x:v>RSF</x:v>
      </x:c>
      <x:c r="F8" s="92" t="str">
        <x:v>85% rentable efficiency.</x:v>
      </x:c>
      <x:c r="G8" s="92"/>
      <x:c r="H8" s="92"/>
    </x:row>
    <x:row r="9">
      <x:c r="A9" t="str">
        <x:v>Parking floors</x:v>
      </x:c>
      <x:c r="B9" s="88" t="n">
        <x:f>'Assumptions'!D19</x:f>
        <x:v>3</x:v>
      </x:c>
      <x:c r="C9" t="str">
        <x:v>floors</x:v>
      </x:c>
      <x:c r="D9" s="88" t="n">
        <x:f>'Assumptions'!E19</x:f>
        <x:v>4</x:v>
      </x:c>
      <x:c r="E9" t="str">
        <x:v>floors</x:v>
      </x:c>
      <x:c r="F9" s="92" t="str">
        <x:v>Flat, convertible decks with removable ramps where feasible.</x:v>
      </x:c>
      <x:c r="G9" s="92"/>
      <x:c r="H9" s="92"/>
    </x:row>
    <x:row r="10">
      <x:c r="A10" t="str">
        <x:v>Structured parking area</x:v>
      </x:c>
      <x:c r="B10" s="88" t="n">
        <x:f>'Assumptions'!D19*'Assumptions'!D10</x:f>
        <x:v>84000</x:v>
      </x:c>
      <x:c r="C10" t="str">
        <x:v>GSF</x:v>
      </x:c>
      <x:c r="D10" s="88" t="n">
        <x:f>'Assumptions'!E19*'Assumptions'!E10</x:f>
        <x:v>112000</x:v>
      </x:c>
      <x:c r="E10" t="str">
        <x:v>GSF</x:v>
      </x:c>
      <x:c r="F10" s="92" t="str">
        <x:v>Excludes dedicated ground-level AV staging.</x:v>
      </x:c>
      <x:c r="G10" s="92"/>
      <x:c r="H10" s="92"/>
    </x:row>
    <x:row r="11">
      <x:c r="A11" t="str">
        <x:v>Structured stalls</x:v>
      </x:c>
      <x:c r="B11" s="88" t="n">
        <x:f>ROUNDDOWN('Assumptions'!D10/'Assumptions'!D12,0)*'Assumptions'!D19</x:f>
        <x:v>231</x:v>
      </x:c>
      <x:c r="C11" t="str">
        <x:v>stalls</x:v>
      </x:c>
      <x:c r="D11" s="88" t="n">
        <x:f>ROUNDDOWN('Assumptions'!E10/'Assumptions'!E12,0)*'Assumptions'!E19</x:f>
        <x:v>308</x:v>
      </x:c>
      <x:c r="E11" t="str">
        <x:v>stalls</x:v>
      </x:c>
      <x:c r="F11" s="92" t="str">
        <x:v>Conservative stall count preserves wider circulation and future adaptability.</x:v>
      </x:c>
      <x:c r="G11" s="92"/>
      <x:c r="H11" s="92"/>
    </x:row>
    <x:row r="12">
      <x:c r="A12" t="str">
        <x:v>Parking ratio</x:v>
      </x:c>
      <x:c r="B12" s="90" t="n">
        <x:f>B11/(B8+'Assumptions'!D14)*1000</x:f>
        <x:v>4.547244094488189</x:v>
      </x:c>
      <x:c r="C12" t="str">
        <x:v>stalls / 1,000 RSF</x:v>
      </x:c>
      <x:c r="D12" s="90" t="n">
        <x:f>D11/(D8+'Assumptions'!E14)*1000</x:f>
        <x:v>4.325842696629214</x:v>
      </x:c>
      <x:c r="E12" t="str">
        <x:v>stalls / 1,000 RSF</x:v>
      </x:c>
      <x:c r="F12" s="92" t="str">
        <x:v>Balanced around 4+ stalls / 1,000 SF before ground AV bays.</x:v>
      </x:c>
      <x:c r="G12" s="92"/>
      <x:c r="H12" s="92"/>
    </x:row>
    <x:row r="13">
      <x:c r="A13" t="str">
        <x:v>Installed / EV-ready ports</x:v>
      </x:c>
      <x:c r="B13" s="88" t="n">
        <x:f>'Assumptions'!D21</x:f>
        <x:v>40</x:v>
      </x:c>
      <x:c r="C13" t="str">
        <x:v>installed</x:v>
      </x:c>
      <x:c r="D13" s="88" t="n">
        <x:f>'Assumptions'!E21</x:f>
        <x:v>40</x:v>
      </x:c>
      <x:c r="E13" t="str">
        <x:v>installed</x:v>
      </x:c>
      <x:c r="F13" s="92" t="str">
        <x:v>Both install 40 ports; expansion readiness differs.</x:v>
      </x:c>
      <x:c r="G13" s="92"/>
      <x:c r="H13" s="92"/>
    </x:row>
    <x:row r="14">
      <x:c r="A14" t="str">
        <x:v>Total EV-ready capacity</x:v>
      </x:c>
      <x:c r="B14" s="88" t="n">
        <x:f>'Assumptions'!D22</x:f>
        <x:v>80</x:v>
      </x:c>
      <x:c r="C14" t="str">
        <x:v>ports</x:v>
      </x:c>
      <x:c r="D14" s="88" t="n">
        <x:f>'Assumptions'!E22</x:f>
        <x:v>120</x:v>
      </x:c>
      <x:c r="E14" t="str">
        <x:v>ports</x:v>
      </x:c>
      <x:c r="F14" s="92" t="str">
        <x:v>Do not install all charger hardware before utilization or partner commitments.</x:v>
      </x:c>
      <x:c r="G14" s="92"/>
      <x:c r="H14" s="92"/>
    </x:row>
    <x:row r="15">
      <x:c r="A15" t="str">
        <x:v>Dedicated AV staging</x:v>
      </x:c>
      <x:c r="B15" s="88" t="n">
        <x:f>'Assumptions'!D16</x:f>
        <x:v>18</x:v>
      </x:c>
      <x:c r="C15" t="str">
        <x:v>bays</x:v>
      </x:c>
      <x:c r="D15" s="88" t="n">
        <x:f>'Assumptions'!E16</x:f>
        <x:v>18</x:v>
      </x:c>
      <x:c r="E15" t="str">
        <x:v>bays</x:v>
      </x:c>
      <x:c r="F15" s="92" t="str">
        <x:v>Secure, blocked-off ground staging with independent access controls.</x:v>
      </x:c>
      <x:c r="G15" s="92"/>
      <x:c r="H15" s="92"/>
    </x:row>
    <x:row r="16">
      <x:c r="A16" t="str">
        <x:v>Solar / BESS</x:v>
      </x:c>
      <x:c r="B16" s="88" t="n">
        <x:f>'Assumptions'!D23</x:f>
        <x:v>150</x:v>
      </x:c>
      <x:c r="C16" t="str">
        <x:v>kW solar</x:v>
      </x:c>
      <x:c r="D16" s="88" t="n">
        <x:f>'Assumptions'!E23</x:f>
        <x:v>200</x:v>
      </x:c>
      <x:c r="E16" t="str">
        <x:v>kW solar</x:v>
      </x:c>
      <x:c r="F16" s="92" t="str">
        <x:v>Battery capacity shown in Energy &amp; Mobility sheet.</x:v>
      </x:c>
      <x:c r="G16" s="92"/>
      <x:c r="H16" s="92"/>
    </x:row>
    <x:row r="17">
      <x:c r="A17" t="str">
        <x:v>Total constructed gross area</x:v>
      </x:c>
      <x:c r="B17" s="88" t="n">
        <x:f>'Assumptions'!D9+B7+B10</x:f>
        <x:v>160000</x:v>
      </x:c>
      <x:c r="C17" t="str">
        <x:v>GSF</x:v>
      </x:c>
      <x:c r="D17" s="88" t="n">
        <x:f>'Assumptions'!E9+D7+D10</x:f>
        <x:v>212000</x:v>
      </x:c>
      <x:c r="E17" t="str">
        <x:v>GSF</x:v>
      </x:c>
      <x:c r="F17" s="92" t="str">
        <x:v>Ground + parking + office floors.</x:v>
      </x:c>
      <x:c r="G17" s="92"/>
      <x:c r="H17" s="92"/>
    </x:row>
    <x:row r="20" ht="20" customHeight="1">
      <x:c r="A20" s="33" t="str">
        <x:v>FLOOR-BY-FLOOR STACK</x:v>
      </x:c>
      <x:c r="B20" s="33"/>
      <x:c r="C20" s="33"/>
      <x:c r="D20" s="33"/>
      <x:c r="E20" s="33"/>
      <x:c r="F20" s="33"/>
      <x:c r="G20" s="33"/>
      <x:c r="H20" s="33"/>
    </x:row>
    <x:row r="21" ht="22" customHeight="1">
      <x:c r="A21" s="24" t="str">
        <x:v>Level</x:v>
      </x:c>
      <x:c r="B21" s="24" t="str">
        <x:v>6-Story Use</x:v>
      </x:c>
      <x:c r="C21" s="24" t="str">
        <x:v>Approx. GSF</x:v>
      </x:c>
      <x:c r="D21" s="24" t="str">
        <x:v>Access / Function</x:v>
      </x:c>
      <x:c r="E21" s="24" t="str">
        <x:v>8-Story Use</x:v>
      </x:c>
      <x:c r="F21" s="24" t="str">
        <x:v>Approx. GSF</x:v>
      </x:c>
      <x:c r="G21" s="24" t="str">
        <x:v>Access / Function</x:v>
      </x:c>
      <x:c r="H21" s="24" t="str">
        <x:v>Comment</x:v>
      </x:c>
    </x:row>
    <x:row r="22">
      <x:c r="A22" s="108" t="str">
        <x:v>L8</x:v>
      </x:c>
      <x:c r="B22" s="109" t="str">
        <x:v>—</x:v>
      </x:c>
      <x:c r="C22" s="110" t="n">
        <x:v>0</x:v>
      </x:c>
      <x:c r="D22" s="109" t="str">
        <x:v>—</x:v>
      </x:c>
      <x:c r="E22" s="109" t="str">
        <x:v>Office / clinical</x:v>
      </x:c>
      <x:c r="F22" s="111" t="n">
        <x:f>'Assumptions'!E11</x:f>
        <x:v>24000</x:v>
      </x:c>
      <x:c r="G22" s="109" t="str">
        <x:v>Tenant / staff</x:v>
      </x:c>
      <x:c r="H22" s="109" t="str">
        <x:v>Top office floor below roof garden / solar.</x:v>
      </x:c>
    </x:row>
    <x:row r="23">
      <x:c r="A23" s="108" t="str">
        <x:v>L7</x:v>
      </x:c>
      <x:c r="B23" s="109" t="str">
        <x:v>—</x:v>
      </x:c>
      <x:c r="C23" s="110" t="n">
        <x:v>0</x:v>
      </x:c>
      <x:c r="D23" s="109" t="str">
        <x:v>—</x:v>
      </x:c>
      <x:c r="E23" s="109" t="str">
        <x:v>Office / clinical</x:v>
      </x:c>
      <x:c r="F23" s="111" t="n">
        <x:f>'Assumptions'!E11</x:f>
        <x:v>24000</x:v>
      </x:c>
      <x:c r="G23" s="109" t="str">
        <x:v>Tenant / staff</x:v>
      </x:c>
      <x:c r="H23" s="109" t="str">
        <x:v>Revenue-producing medical / professional space.</x:v>
      </x:c>
    </x:row>
    <x:row r="24">
      <x:c r="A24" s="108" t="str">
        <x:v>L6</x:v>
      </x:c>
      <x:c r="B24" s="109" t="str">
        <x:v>Office / clinical</x:v>
      </x:c>
      <x:c r="C24" s="111" t="n">
        <x:f>'Assumptions'!D11</x:f>
        <x:v>24000</x:v>
      </x:c>
      <x:c r="D24" s="109" t="str">
        <x:v>Tenant / staff</x:v>
      </x:c>
      <x:c r="E24" s="109" t="str">
        <x:v>Office / clinical</x:v>
      </x:c>
      <x:c r="F24" s="111" t="n">
        <x:f>'Assumptions'!E11</x:f>
        <x:v>24000</x:v>
      </x:c>
      <x:c r="G24" s="109" t="str">
        <x:v>Tenant / staff</x:v>
      </x:c>
      <x:c r="H24" s="109" t="str">
        <x:v>Clinical floors use separate lobby and elevators from fleet operations.</x:v>
      </x:c>
    </x:row>
    <x:row r="25">
      <x:c r="A25" s="108" t="str">
        <x:v>L5</x:v>
      </x:c>
      <x:c r="B25" s="109" t="str">
        <x:v>Office / clinical</x:v>
      </x:c>
      <x:c r="C25" s="111" t="n">
        <x:f>'Assumptions'!D11</x:f>
        <x:v>24000</x:v>
      </x:c>
      <x:c r="D25" s="109" t="str">
        <x:v>Tenant / staff</x:v>
      </x:c>
      <x:c r="E25" s="109" t="str">
        <x:v>Structured parking</x:v>
      </x:c>
      <x:c r="F25" s="111" t="n">
        <x:f>'Assumptions'!E10</x:f>
        <x:v>28000</x:v>
      </x:c>
      <x:c r="G25" s="109" t="str">
        <x:v>Public / tenant / fleet</x:v>
      </x:c>
      <x:c r="H25" s="109" t="str">
        <x:v>Flat deck; 40 chargers distributed to reduce electrical runs.</x:v>
      </x:c>
    </x:row>
    <x:row r="26">
      <x:c r="A26" s="108" t="str">
        <x:v>L4</x:v>
      </x:c>
      <x:c r="B26" s="109" t="str">
        <x:v>Structured parking</x:v>
      </x:c>
      <x:c r="C26" s="111" t="n">
        <x:f>'Assumptions'!D10</x:f>
        <x:v>28000</x:v>
      </x:c>
      <x:c r="D26" s="109" t="str">
        <x:v>Public / tenant / fleet</x:v>
      </x:c>
      <x:c r="E26" s="109" t="str">
        <x:v>Structured parking</x:v>
      </x:c>
      <x:c r="F26" s="111" t="n">
        <x:f>'Assumptions'!E10</x:f>
        <x:v>28000</x:v>
      </x:c>
      <x:c r="G26" s="109" t="str">
        <x:v>Public / tenant / fleet</x:v>
      </x:c>
      <x:c r="H26" s="109" t="str">
        <x:v>Convertible structure and protected conduit spine.</x:v>
      </x:c>
    </x:row>
    <x:row r="27">
      <x:c r="A27" s="108" t="str">
        <x:v>L3</x:v>
      </x:c>
      <x:c r="B27" s="109" t="str">
        <x:v>Structured parking</x:v>
      </x:c>
      <x:c r="C27" s="111" t="n">
        <x:f>'Assumptions'!D10</x:f>
        <x:v>28000</x:v>
      </x:c>
      <x:c r="D27" s="109" t="str">
        <x:v>Public / tenant / fleet</x:v>
      </x:c>
      <x:c r="E27" s="109" t="str">
        <x:v>Structured parking</x:v>
      </x:c>
      <x:c r="F27" s="111" t="n">
        <x:f>'Assumptions'!E10</x:f>
        <x:v>28000</x:v>
      </x:c>
      <x:c r="G27" s="109" t="str">
        <x:v>Public / tenant / fleet</x:v>
      </x:c>
      <x:c r="H27" s="109" t="str">
        <x:v>Fleet / charging priority zones can be gated.</x:v>
      </x:c>
    </x:row>
    <x:row r="28">
      <x:c r="A28" s="108" t="str">
        <x:v>L2</x:v>
      </x:c>
      <x:c r="B28" s="109" t="str">
        <x:v>Structured parking</x:v>
      </x:c>
      <x:c r="C28" s="111" t="n">
        <x:f>'Assumptions'!D10</x:f>
        <x:v>28000</x:v>
      </x:c>
      <x:c r="D28" s="109" t="str">
        <x:v>Public / tenant / fleet</x:v>
      </x:c>
      <x:c r="E28" s="109" t="str">
        <x:v>Structured parking</x:v>
      </x:c>
      <x:c r="F28" s="111" t="n">
        <x:f>'Assumptions'!E10</x:f>
        <x:v>28000</x:v>
      </x:c>
      <x:c r="G28" s="109" t="str">
        <x:v>Public / tenant / fleet</x:v>
      </x:c>
      <x:c r="H28" s="109" t="str">
        <x:v>Patient / visitor priority closest to clinical elevator.</x:v>
      </x:c>
    </x:row>
    <x:row r="29">
      <x:c r="A29" s="108" t="str">
        <x:v>L1</x:v>
      </x:c>
      <x:c r="B29" s="109" t="str">
        <x:v>Med-tail + café + lobby + AV staging</x:v>
      </x:c>
      <x:c r="C29" s="111" t="n">
        <x:f>'Assumptions'!D9</x:f>
        <x:v>28000</x:v>
      </x:c>
      <x:c r="D29" s="109" t="str">
        <x:v>Separated public and AV lanes</x:v>
      </x:c>
      <x:c r="E29" s="109" t="str">
        <x:v>Med-tail + café + lobby + AV staging</x:v>
      </x:c>
      <x:c r="F29" s="111" t="n">
        <x:f>'Assumptions'!E9</x:f>
        <x:v>28000</x:v>
      </x:c>
      <x:c r="G29" s="109" t="str">
        <x:v>Separated public and AV lanes</x:v>
      </x:c>
      <x:c r="H29" s="109" t="str">
        <x:v>Keep South Andrews frontage active; use secondary street edges for controlled vehicle access, subject to traffic study.</x:v>
      </x:c>
    </x:row>
    <x:row r="32" ht="20" customHeight="1">
      <x:c r="A32" s="33" t="str">
        <x:v>INGRESS / EGRESS DESIGN PRINCIPLES</x:v>
      </x:c>
      <x:c r="B32" s="33"/>
      <x:c r="C32" s="33"/>
      <x:c r="D32" s="33"/>
      <x:c r="E32" s="33"/>
      <x:c r="F32" s="33"/>
      <x:c r="G32" s="33"/>
      <x:c r="H32" s="33"/>
    </x:row>
    <x:row r="33" ht="28" customHeight="1">
      <x:c r="A33" s="117" t="str">
        <x:v>1. Keep South Andrews Avenue as the active pedestrian and medical-retail frontage; avoid making it the principal fleet curb cut.</x:v>
      </x:c>
      <x:c r="B33" s="117"/>
      <x:c r="C33" s="117"/>
      <x:c r="D33" s="117"/>
      <x:c r="E33" s="117"/>
      <x:c r="F33" s="117"/>
      <x:c r="G33" s="117"/>
      <x:c r="H33" s="117"/>
    </x:row>
    <x:row r="34" ht="28" customHeight="1">
      <x:c r="A34" s="121" t="str">
        <x:v>2. Use the two secondary street edges for separated AV ingress and egress where traffic engineering and City review permit.</x:v>
      </x:c>
      <x:c r="B34" s="121"/>
      <x:c r="C34" s="121"/>
      <x:c r="D34" s="121"/>
      <x:c r="E34" s="121"/>
      <x:c r="F34" s="121"/>
      <x:c r="G34" s="121"/>
      <x:c r="H34" s="121"/>
    </x:row>
    <x:row r="35" ht="28" customHeight="1">
      <x:c r="A35" s="117" t="str">
        <x:v>3. Separate public/patient parking circulation from the secured AV staging loop before the first decision point.</x:v>
      </x:c>
      <x:c r="B35" s="117"/>
      <x:c r="C35" s="117"/>
      <x:c r="D35" s="117"/>
      <x:c r="E35" s="117"/>
      <x:c r="F35" s="117"/>
      <x:c r="G35" s="117"/>
      <x:c r="H35" s="117"/>
    </x:row>
    <x:row r="36" ht="28" customHeight="1">
      <x:c r="A36" s="121" t="str">
        <x:v>4. Give the AV zone independent gates, queuing, wash / light-service capability, secure pedestrian paths and direct access to fleet operations.</x:v>
      </x:c>
      <x:c r="B36" s="121"/>
      <x:c r="C36" s="121"/>
      <x:c r="D36" s="121"/>
      <x:c r="E36" s="121"/>
      <x:c r="F36" s="121"/>
      <x:c r="G36" s="121"/>
      <x:c r="H36" s="121"/>
    </x:row>
    <x:row r="37" ht="28" customHeight="1">
      <x:c r="A37" s="117" t="str">
        <x:v>5. Do not let solar, batteries or data rooms consume the emergency access, FPL transformer clearances or future charger expansion corridors.</x:v>
      </x:c>
      <x:c r="B37" s="117"/>
      <x:c r="C37" s="117"/>
      <x:c r="D37" s="117"/>
      <x:c r="E37" s="117"/>
      <x:c r="F37" s="117"/>
      <x:c r="G37" s="117"/>
      <x:c r="H37" s="117"/>
    </x:row>
  </x:sheetData>
  <x:mergeCells>
    <x:mergeCell ref="A1:H1"/>
    <x:mergeCell ref="A2:H2"/>
    <x:mergeCell ref="F4:H4"/>
    <x:mergeCell ref="F5:H5"/>
    <x:mergeCell ref="F6:H6"/>
    <x:mergeCell ref="F7:H7"/>
    <x:mergeCell ref="F8:H8"/>
    <x:mergeCell ref="F9:H9"/>
    <x:mergeCell ref="F10:H10"/>
    <x:mergeCell ref="F11:H11"/>
    <x:mergeCell ref="F12:H12"/>
    <x:mergeCell ref="F13:H13"/>
    <x:mergeCell ref="F14:H14"/>
    <x:mergeCell ref="F15:H15"/>
    <x:mergeCell ref="F16:H16"/>
    <x:mergeCell ref="F17:H17"/>
    <x:mergeCell ref="A20:H20"/>
    <x:mergeCell ref="A32:H32"/>
    <x:mergeCell ref="A33:H33"/>
    <x:mergeCell ref="A34:H34"/>
    <x:mergeCell ref="A35:H35"/>
    <x:mergeCell ref="A36:H36"/>
    <x:mergeCell ref="A37:H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34" hidden="0" customWidth="1"/>
    <x:col min="3" max="3" width="13" hidden="0" customWidth="1"/>
    <x:col min="4" max="4" width="17" hidden="0" customWidth="1"/>
    <x:col min="5" max="5" width="17" hidden="0" customWidth="1"/>
  </x:cols>
  <x:sheetData>
    <x:row r="1" ht="28" customHeight="1">
      <x:c r="A1" s="5" t="str">
        <x:v>DEVELOPMENT COST MODEL — $8.0M LAND OFFER</x:v>
      </x:c>
      <x:c r="B1" s="5"/>
      <x:c r="C1" s="5"/>
      <x:c r="D1" s="5"/>
      <x:c r="E1" s="5"/>
    </x:row>
    <x:row r="2" ht="30" customHeight="1">
      <x:c r="A2" s="14" t="str">
        <x:v>Core &amp; shell = mobility-ready structure with energy / data infrastructure, before tenant build-outs. Tenant-ready adds office, clinical, med-tail and café allowances.</x:v>
      </x:c>
      <x:c r="B2" s="14"/>
      <x:c r="C2" s="14"/>
      <x:c r="D2" s="14"/>
      <x:c r="E2" s="14"/>
    </x:row>
    <x:row r="4" ht="22" customHeight="1">
      <x:c r="A4" s="24" t="str">
        <x:v>Line Item</x:v>
      </x:c>
      <x:c r="B4" s="24" t="str">
        <x:v>Cost Basis</x:v>
      </x:c>
      <x:c r="C4" s="24" t="str">
        <x:v>Units</x:v>
      </x:c>
      <x:c r="D4" s="24" t="str">
        <x:v>6-Story</x:v>
      </x:c>
      <x:c r="E4" s="24" t="str">
        <x:v>8-Story</x:v>
      </x:c>
    </x:row>
    <x:row r="5" ht="20" customHeight="1">
      <x:c r="A5" s="72" t="str">
        <x:v>ACQUISITION</x:v>
      </x:c>
      <x:c r="B5" s="72"/>
      <x:c r="C5" s="72"/>
      <x:c r="D5" s="56"/>
      <x:c r="E5" s="56"/>
    </x:row>
    <x:row r="6">
      <x:c r="A6" s="73" t="str">
        <x:v>Land purchase</x:v>
      </x:c>
      <x:c r="B6" s="73" t="str">
        <x:v>Starting offer</x:v>
      </x:c>
      <x:c r="C6" s="73" t="str">
        <x:v>$</x:v>
      </x:c>
      <x:c r="D6" s="172" t="n">
        <x:f>'Assumptions'!D7</x:f>
        <x:v>8000000</x:v>
      </x:c>
      <x:c r="E6" s="172" t="n">
        <x:f>'Assumptions'!E7</x:f>
        <x:v>8000000</x:v>
      </x:c>
    </x:row>
    <x:row r="7">
      <x:c r="A7" s="73" t="str">
        <x:v>Closing / acquisition costs</x:v>
      </x:c>
      <x:c r="B7" s="73" t="str">
        <x:v>Land × closing %</x:v>
      </x:c>
      <x:c r="C7" s="73" t="str">
        <x:v>$</x:v>
      </x:c>
      <x:c r="D7" s="172" t="n">
        <x:f>D6*'Assumptions'!D8</x:f>
        <x:v>160000</x:v>
      </x:c>
      <x:c r="E7" s="172" t="n">
        <x:f>E6*'Assumptions'!E8</x:f>
        <x:v>160000</x:v>
      </x:c>
    </x:row>
    <x:row r="8">
      <x:c r="A8" s="73"/>
      <x:c r="B8" s="73"/>
      <x:c r="C8" s="73"/>
      <x:c r="D8" s="57"/>
      <x:c r="E8" s="57"/>
    </x:row>
    <x:row r="9" ht="20" customHeight="1">
      <x:c r="A9" s="72" t="str">
        <x:v>CORE HARD COSTS — MOBILITY READY</x:v>
      </x:c>
      <x:c r="B9" s="72"/>
      <x:c r="C9" s="72"/>
      <x:c r="D9" s="56"/>
      <x:c r="E9" s="56"/>
    </x:row>
    <x:row r="10">
      <x:c r="A10" s="73" t="str">
        <x:v>Demolition</x:v>
      </x:c>
      <x:c r="B10" s="73" t="str">
        <x:v>Lump sum</x:v>
      </x:c>
      <x:c r="C10" s="73" t="str">
        <x:v>$</x:v>
      </x:c>
      <x:c r="D10" s="172" t="n">
        <x:f>'Assumptions'!D29</x:f>
        <x:v>400000</x:v>
      </x:c>
      <x:c r="E10" s="172" t="n">
        <x:f>'Assumptions'!E29</x:f>
        <x:v>400000</x:v>
      </x:c>
    </x:row>
    <x:row r="11">
      <x:c r="A11" s="73" t="str">
        <x:v>Flood / stormwater / resilient sitework</x:v>
      </x:c>
      <x:c r="B11" s="73" t="str">
        <x:v>Lump sum</x:v>
      </x:c>
      <x:c r="C11" s="73" t="str">
        <x:v>$</x:v>
      </x:c>
      <x:c r="D11" s="172" t="n">
        <x:f>'Assumptions'!D30</x:f>
        <x:v>1250000</x:v>
      </x:c>
      <x:c r="E11" s="172" t="n">
        <x:f>'Assumptions'!E30</x:f>
        <x:v>1450000</x:v>
      </x:c>
    </x:row>
    <x:row r="12">
      <x:c r="A12" s="73" t="str">
        <x:v>Ground podium + active frontage shell</x:v>
      </x:c>
      <x:c r="B12" s="73" t="str">
        <x:v>Ground GSF × unit cost</x:v>
      </x:c>
      <x:c r="C12" s="73" t="str">
        <x:v>$</x:v>
      </x:c>
      <x:c r="D12" s="172" t="n">
        <x:f>'Assumptions'!D9*'Assumptions'!D31</x:f>
        <x:v>7000000</x:v>
      </x:c>
      <x:c r="E12" s="172" t="n">
        <x:f>'Assumptions'!E9*'Assumptions'!E31</x:f>
        <x:v>7000000</x:v>
      </x:c>
    </x:row>
    <x:row r="13">
      <x:c r="A13" s="73" t="str">
        <x:v>Structured parking concrete + flat decks</x:v>
      </x:c>
      <x:c r="B13" s="73" t="str">
        <x:v>Parking GSF × unit cost</x:v>
      </x:c>
      <x:c r="C13" s="73" t="str">
        <x:v>$</x:v>
      </x:c>
      <x:c r="D13" s="172" t="n">
        <x:f>'Assumptions'!D19*'Assumptions'!D10*'Assumptions'!D32</x:f>
        <x:v>9660000</x:v>
      </x:c>
      <x:c r="E13" s="172" t="n">
        <x:f>'Assumptions'!E19*'Assumptions'!E10*'Assumptions'!E32</x:f>
        <x:v>12880000</x:v>
      </x:c>
    </x:row>
    <x:row r="14">
      <x:c r="A14" s="73" t="str">
        <x:v>Office / medical-ready shell &amp; core</x:v>
      </x:c>
      <x:c r="B14" s="73" t="str">
        <x:v>Office GSF × unit cost</x:v>
      </x:c>
      <x:c r="C14" s="73" t="str">
        <x:v>$</x:v>
      </x:c>
      <x:c r="D14" s="172" t="n">
        <x:f>'Assumptions'!D20*'Assumptions'!D11*'Assumptions'!D33</x:f>
        <x:v>13920000</x:v>
      </x:c>
      <x:c r="E14" s="172" t="n">
        <x:f>'Assumptions'!E20*'Assumptions'!E11*'Assumptions'!E33</x:f>
        <x:v>20880000</x:v>
      </x:c>
    </x:row>
    <x:row r="15">
      <x:c r="A15" s="73" t="str">
        <x:v>40 installed networked Level 2 chargers</x:v>
      </x:c>
      <x:c r="B15" s="73" t="str">
        <x:v>Ports × installed cost</x:v>
      </x:c>
      <x:c r="C15" s="73" t="str">
        <x:v>$</x:v>
      </x:c>
      <x:c r="D15" s="172" t="n">
        <x:f>'Assumptions'!D21*'Assumptions'!D36</x:f>
        <x:v>300000</x:v>
      </x:c>
      <x:c r="E15" s="172" t="n">
        <x:f>'Assumptions'!E21*'Assumptions'!E36</x:f>
        <x:v>300000</x:v>
      </x:c>
    </x:row>
    <x:row r="16">
      <x:c r="A16" s="73" t="str">
        <x:v>EV-ready expansion conduit / pathways</x:v>
      </x:c>
      <x:c r="B16" s="73" t="str">
        <x:v>(Ready − installed) × rough-in</x:v>
      </x:c>
      <x:c r="C16" s="73" t="str">
        <x:v>$</x:v>
      </x:c>
      <x:c r="D16" s="172" t="n">
        <x:f>('Assumptions'!D22-'Assumptions'!D21)*'Assumptions'!D37</x:f>
        <x:v>50000</x:v>
      </x:c>
      <x:c r="E16" s="172" t="n">
        <x:f>('Assumptions'!E22-'Assumptions'!E21)*'Assumptions'!E37</x:f>
        <x:v>100000</x:v>
      </x:c>
    </x:row>
    <x:row r="17">
      <x:c r="A17" s="73" t="str">
        <x:v>FPL service / transformers / switchgear allowance</x:v>
      </x:c>
      <x:c r="B17" s="73" t="str">
        <x:v>Lump sum</x:v>
      </x:c>
      <x:c r="C17" s="73" t="str">
        <x:v>$</x:v>
      </x:c>
      <x:c r="D17" s="172" t="n">
        <x:f>'Assumptions'!D38</x:f>
        <x:v>1500000</x:v>
      </x:c>
      <x:c r="E17" s="172" t="n">
        <x:f>'Assumptions'!E38</x:f>
        <x:v>1800000</x:v>
      </x:c>
    </x:row>
    <x:row r="18">
      <x:c r="A18" s="73" t="str">
        <x:v>AV circulation, gates, security and staging</x:v>
      </x:c>
      <x:c r="B18" s="73" t="str">
        <x:v>Lump sum</x:v>
      </x:c>
      <x:c r="C18" s="73" t="str">
        <x:v>$</x:v>
      </x:c>
      <x:c r="D18" s="172" t="n">
        <x:f>'Assumptions'!D39</x:f>
        <x:v>1250000</x:v>
      </x:c>
      <x:c r="E18" s="172" t="n">
        <x:f>'Assumptions'!E39</x:f>
        <x:v>1400000</x:v>
      </x:c>
    </x:row>
    <x:row r="19">
      <x:c r="A19" s="73" t="str">
        <x:v>Rooftop / canopy solar</x:v>
      </x:c>
      <x:c r="B19" s="73" t="str">
        <x:v>kW × 1,000 × $/W</x:v>
      </x:c>
      <x:c r="C19" s="73" t="str">
        <x:v>$</x:v>
      </x:c>
      <x:c r="D19" s="172" t="n">
        <x:f>'Assumptions'!D23*1000*'Assumptions'!D40</x:f>
        <x:v>360000</x:v>
      </x:c>
      <x:c r="E19" s="172" t="n">
        <x:f>'Assumptions'!E23*1000*'Assumptions'!E40</x:f>
        <x:v>480000</x:v>
      </x:c>
    </x:row>
    <x:row r="20">
      <x:c r="A20" s="73" t="str">
        <x:v>Battery energy storage system</x:v>
      </x:c>
      <x:c r="B20" s="73" t="str">
        <x:v>kWh × installed $/kWh</x:v>
      </x:c>
      <x:c r="C20" s="73" t="str">
        <x:v>$</x:v>
      </x:c>
      <x:c r="D20" s="172" t="n">
        <x:f>'Assumptions'!D24*'Assumptions'!D41</x:f>
        <x:v>300000</x:v>
      </x:c>
      <x:c r="E20" s="172" t="n">
        <x:f>'Assumptions'!E24*'Assumptions'!E41</x:f>
        <x:v>550000</x:v>
      </x:c>
    </x:row>
    <x:row r="21">
      <x:c r="A21" s="73" t="str">
        <x:v>Edge data / fleet teleoperations infrastructure</x:v>
      </x:c>
      <x:c r="B21" s="73" t="str">
        <x:v>Lump sum</x:v>
      </x:c>
      <x:c r="C21" s="73" t="str">
        <x:v>$</x:v>
      </x:c>
      <x:c r="D21" s="172" t="n">
        <x:f>'Assumptions'!D42</x:f>
        <x:v>1250000</x:v>
      </x:c>
      <x:c r="E21" s="172" t="n">
        <x:f>'Assumptions'!E42</x:f>
        <x:v>1750000</x:v>
      </x:c>
    </x:row>
    <x:row r="22">
      <x:c r="A22" s="73" t="str">
        <x:v>Staff rooftop garden / shade amenity</x:v>
      </x:c>
      <x:c r="B22" s="73" t="str">
        <x:v>Amenity SF × unit cost</x:v>
      </x:c>
      <x:c r="C22" s="73" t="str">
        <x:v>$</x:v>
      </x:c>
      <x:c r="D22" s="172" t="n">
        <x:f>'Assumptions'!D26*'Assumptions'!D43</x:f>
        <x:v>540000</x:v>
      </x:c>
      <x:c r="E22" s="172" t="n">
        <x:f>'Assumptions'!E26*'Assumptions'!E43</x:f>
        <x:v>720000</x:v>
      </x:c>
    </x:row>
    <x:row r="23">
      <x:c r="A23" s="173" t="str">
        <x:v>Core hard cost subtotal</x:v>
      </x:c>
      <x:c r="B23" s="173" t="str">
        <x:v>Sum of mobility-ready hard costs</x:v>
      </x:c>
      <x:c r="C23" s="173" t="str">
        <x:v>$</x:v>
      </x:c>
      <x:c r="D23" s="174" t="n">
        <x:f>SUM(D10:D22)</x:f>
        <x:v>37780000</x:v>
      </x:c>
      <x:c r="E23" s="174" t="n">
        <x:f>SUM(E10:E22)</x:f>
        <x:v>49710000</x:v>
      </x:c>
    </x:row>
    <x:row r="24">
      <x:c r="A24" s="73"/>
      <x:c r="B24" s="73"/>
      <x:c r="C24" s="73"/>
      <x:c r="D24" s="57"/>
      <x:c r="E24" s="57"/>
    </x:row>
    <x:row r="25" ht="20" customHeight="1">
      <x:c r="A25" s="72" t="str">
        <x:v>TENANT IMPROVEMENTS / LEASE-UP ALLOWANCES</x:v>
      </x:c>
      <x:c r="B25" s="72"/>
      <x:c r="C25" s="72"/>
      <x:c r="D25" s="56"/>
      <x:c r="E25" s="56"/>
    </x:row>
    <x:row r="26">
      <x:c r="A26" s="73" t="str">
        <x:v>Office / clinical TI allowance</x:v>
      </x:c>
      <x:c r="B26" s="73" t="str">
        <x:v>Office RSF × TI $/RSF</x:v>
      </x:c>
      <x:c r="C26" s="73" t="str">
        <x:v>$</x:v>
      </x:c>
      <x:c r="D26" s="172" t="n">
        <x:f>'Assumptions'!D20*'Assumptions'!D11*'Assumptions'!D13*'Assumptions'!D34</x:f>
        <x:v>5508000</x:v>
      </x:c>
      <x:c r="E26" s="172" t="n">
        <x:f>'Assumptions'!E20*'Assumptions'!E11*'Assumptions'!E13*'Assumptions'!E34</x:f>
        <x:v>8262000</x:v>
      </x:c>
    </x:row>
    <x:row r="27">
      <x:c r="A27" s="73" t="str">
        <x:v>Ground med-tail / café TI allowance</x:v>
      </x:c>
      <x:c r="B27" s="73" t="str">
        <x:v>Ground RSF × TI $/RSF</x:v>
      </x:c>
      <x:c r="C27" s="73" t="str">
        <x:v>$</x:v>
      </x:c>
      <x:c r="D27" s="172" t="n">
        <x:f>'Assumptions'!D14*'Assumptions'!D35</x:f>
        <x:v>1062500</x:v>
      </x:c>
      <x:c r="E27" s="172" t="n">
        <x:f>'Assumptions'!E14*'Assumptions'!E35</x:f>
        <x:v>1062500</x:v>
      </x:c>
    </x:row>
    <x:row r="28">
      <x:c r="A28" s="173" t="str">
        <x:v>Tenant improvement subtotal</x:v>
      </x:c>
      <x:c r="B28" s="173" t="str">
        <x:v>Sum</x:v>
      </x:c>
      <x:c r="C28" s="173" t="str">
        <x:v>$</x:v>
      </x:c>
      <x:c r="D28" s="174" t="n">
        <x:f>SUM(D26:D27)</x:f>
        <x:v>6570500</x:v>
      </x:c>
      <x:c r="E28" s="174" t="n">
        <x:f>SUM(E26:E27)</x:f>
        <x:v>9324500</x:v>
      </x:c>
    </x:row>
    <x:row r="29">
      <x:c r="A29" s="175" t="str">
        <x:v>Full hard cost incl. TI</x:v>
      </x:c>
      <x:c r="B29" s="175" t="str">
        <x:v>Core hard + TI</x:v>
      </x:c>
      <x:c r="C29" s="175" t="str">
        <x:v>$</x:v>
      </x:c>
      <x:c r="D29" s="176" t="n">
        <x:f>D23+D28</x:f>
        <x:v>44350500</x:v>
      </x:c>
      <x:c r="E29" s="176" t="n">
        <x:f>E23+E28</x:f>
        <x:v>59034500</x:v>
      </x:c>
    </x:row>
    <x:row r="30">
      <x:c r="A30" s="73"/>
      <x:c r="B30" s="73"/>
      <x:c r="C30" s="73"/>
      <x:c r="D30" s="57"/>
      <x:c r="E30" s="57"/>
    </x:row>
    <x:row r="31" ht="20" customHeight="1">
      <x:c r="A31" s="72" t="str">
        <x:v>SOFT COSTS</x:v>
      </x:c>
      <x:c r="B31" s="72"/>
      <x:c r="C31" s="72"/>
      <x:c r="D31" s="56"/>
      <x:c r="E31" s="56"/>
    </x:row>
    <x:row r="32">
      <x:c r="A32" s="73" t="str">
        <x:v>A&amp;E — core basis</x:v>
      </x:c>
      <x:c r="B32" s="73" t="str">
        <x:v>Core hard × A&amp;E %</x:v>
      </x:c>
      <x:c r="C32" s="73" t="str">
        <x:v>$</x:v>
      </x:c>
      <x:c r="D32" s="177" t="n">
        <x:f>D23*'Assumptions'!D45</x:f>
        <x:v>3022400</x:v>
      </x:c>
      <x:c r="E32" s="177" t="n">
        <x:f>E23*'Assumptions'!E45</x:f>
        <x:v>3976800</x:v>
      </x:c>
    </x:row>
    <x:row r="33">
      <x:c r="A33" s="73" t="str">
        <x:v>Permits / impact / utility — core basis</x:v>
      </x:c>
      <x:c r="B33" s="73" t="str">
        <x:v>Core hard × fee %</x:v>
      </x:c>
      <x:c r="C33" s="73" t="str">
        <x:v>$</x:v>
      </x:c>
      <x:c r="D33" s="177" t="n">
        <x:f>D23*'Assumptions'!D46</x:f>
        <x:v>1889000</x:v>
      </x:c>
      <x:c r="E33" s="177" t="n">
        <x:f>E23*'Assumptions'!E46</x:f>
        <x:v>2485500</x:v>
      </x:c>
    </x:row>
    <x:row r="34">
      <x:c r="A34" s="73" t="str">
        <x:v>Developer / legal / insurance — core basis</x:v>
      </x:c>
      <x:c r="B34" s="73" t="str">
        <x:v>Core hard × owner %</x:v>
      </x:c>
      <x:c r="C34" s="73" t="str">
        <x:v>$</x:v>
      </x:c>
      <x:c r="D34" s="177" t="n">
        <x:f>D23*'Assumptions'!D47</x:f>
        <x:v>1511200</x:v>
      </x:c>
      <x:c r="E34" s="177" t="n">
        <x:f>E23*'Assumptions'!E47</x:f>
        <x:v>1988400</x:v>
      </x:c>
    </x:row>
    <x:row r="35">
      <x:c r="A35" s="73" t="str">
        <x:v>Contingency — core basis</x:v>
      </x:c>
      <x:c r="B35" s="73" t="str">
        <x:v>Core hard × contingency %</x:v>
      </x:c>
      <x:c r="C35" s="73" t="str">
        <x:v>$</x:v>
      </x:c>
      <x:c r="D35" s="177" t="n">
        <x:f>D23*'Assumptions'!D48</x:f>
        <x:v>3022400</x:v>
      </x:c>
      <x:c r="E35" s="177" t="n">
        <x:f>E23*'Assumptions'!E48</x:f>
        <x:v>3976800</x:v>
      </x:c>
    </x:row>
    <x:row r="36">
      <x:c r="A36" s="173" t="str">
        <x:v>Core soft cost subtotal</x:v>
      </x:c>
      <x:c r="B36" s="173" t="str">
        <x:v>Sum</x:v>
      </x:c>
      <x:c r="C36" s="173" t="str">
        <x:v>$</x:v>
      </x:c>
      <x:c r="D36" s="174" t="n">
        <x:f>SUM(D32:D35)</x:f>
        <x:v>9445000</x:v>
      </x:c>
      <x:c r="E36" s="174" t="n">
        <x:f>SUM(E32:E35)</x:f>
        <x:v>12427500</x:v>
      </x:c>
    </x:row>
    <x:row r="37">
      <x:c r="A37" s="73"/>
      <x:c r="B37" s="73"/>
      <x:c r="C37" s="73"/>
      <x:c r="D37" s="57"/>
      <x:c r="E37" s="57"/>
    </x:row>
    <x:row r="38">
      <x:c r="A38" s="73" t="str">
        <x:v>A&amp;E — full basis</x:v>
      </x:c>
      <x:c r="B38" s="73" t="str">
        <x:v>Full hard × A&amp;E %</x:v>
      </x:c>
      <x:c r="C38" s="73" t="str">
        <x:v>$</x:v>
      </x:c>
      <x:c r="D38" s="177" t="n">
        <x:f>D29*'Assumptions'!D45</x:f>
        <x:v>3548040</x:v>
      </x:c>
      <x:c r="E38" s="177" t="n">
        <x:f>E29*'Assumptions'!E45</x:f>
        <x:v>4722760</x:v>
      </x:c>
    </x:row>
    <x:row r="39">
      <x:c r="A39" s="73" t="str">
        <x:v>Permits / impact / utility — full basis</x:v>
      </x:c>
      <x:c r="B39" s="73" t="str">
        <x:v>Full hard × fee %</x:v>
      </x:c>
      <x:c r="C39" s="73" t="str">
        <x:v>$</x:v>
      </x:c>
      <x:c r="D39" s="177" t="n">
        <x:f>D29*'Assumptions'!D46</x:f>
        <x:v>2217525</x:v>
      </x:c>
      <x:c r="E39" s="177" t="n">
        <x:f>E29*'Assumptions'!E46</x:f>
        <x:v>2951725</x:v>
      </x:c>
    </x:row>
    <x:row r="40">
      <x:c r="A40" s="73" t="str">
        <x:v>Developer / legal / insurance — full basis</x:v>
      </x:c>
      <x:c r="B40" s="73" t="str">
        <x:v>Full hard × owner %</x:v>
      </x:c>
      <x:c r="C40" s="73" t="str">
        <x:v>$</x:v>
      </x:c>
      <x:c r="D40" s="177" t="n">
        <x:f>D29*'Assumptions'!D47</x:f>
        <x:v>1774020</x:v>
      </x:c>
      <x:c r="E40" s="177" t="n">
        <x:f>E29*'Assumptions'!E47</x:f>
        <x:v>2361380</x:v>
      </x:c>
    </x:row>
    <x:row r="41">
      <x:c r="A41" s="73" t="str">
        <x:v>Contingency — full basis</x:v>
      </x:c>
      <x:c r="B41" s="73" t="str">
        <x:v>Full hard × contingency %</x:v>
      </x:c>
      <x:c r="C41" s="73" t="str">
        <x:v>$</x:v>
      </x:c>
      <x:c r="D41" s="177" t="n">
        <x:f>D29*'Assumptions'!D48</x:f>
        <x:v>3548040</x:v>
      </x:c>
      <x:c r="E41" s="177" t="n">
        <x:f>E29*'Assumptions'!E48</x:f>
        <x:v>4722760</x:v>
      </x:c>
    </x:row>
    <x:row r="42">
      <x:c r="A42" s="73" t="str">
        <x:v>Leasing / commissioning / pre-opening</x:v>
      </x:c>
      <x:c r="B42" s="73" t="str">
        <x:v>Office RSF × allowance</x:v>
      </x:c>
      <x:c r="C42" s="73" t="str">
        <x:v>$</x:v>
      </x:c>
      <x:c r="D42" s="177" t="n">
        <x:f>'Assumptions'!D20*'Assumptions'!D11*'Assumptions'!D13*'Assumptions'!D49</x:f>
        <x:v>1020000</x:v>
      </x:c>
      <x:c r="E42" s="177" t="n">
        <x:f>'Assumptions'!E20*'Assumptions'!E11*'Assumptions'!E13*'Assumptions'!E49</x:f>
        <x:v>1530000</x:v>
      </x:c>
    </x:row>
    <x:row r="43">
      <x:c r="A43" s="173" t="str">
        <x:v>Full soft cost subtotal</x:v>
      </x:c>
      <x:c r="B43" s="173" t="str">
        <x:v>Sum</x:v>
      </x:c>
      <x:c r="C43" s="173" t="str">
        <x:v>$</x:v>
      </x:c>
      <x:c r="D43" s="174" t="n">
        <x:f>SUM(D38:D42)</x:f>
        <x:v>12107625</x:v>
      </x:c>
      <x:c r="E43" s="174" t="n">
        <x:f>SUM(E38:E42)</x:f>
        <x:v>16288625</x:v>
      </x:c>
    </x:row>
    <x:row r="44">
      <x:c r="A44" s="73"/>
      <x:c r="B44" s="73"/>
      <x:c r="C44" s="73"/>
      <x:c r="D44" s="57"/>
      <x:c r="E44" s="57"/>
    </x:row>
    <x:row r="45" ht="20" customHeight="1">
      <x:c r="A45" s="72" t="str">
        <x:v>FINANCING AND ALL-IN COST</x:v>
      </x:c>
      <x:c r="B45" s="72"/>
      <x:c r="C45" s="72"/>
      <x:c r="D45" s="56"/>
      <x:c r="E45" s="56"/>
    </x:row>
    <x:row r="46">
      <x:c r="A46" s="73" t="str">
        <x:v>Core pre-finance development cost</x:v>
      </x:c>
      <x:c r="B46" s="73" t="str">
        <x:v>Land + closing + core hard + core soft</x:v>
      </x:c>
      <x:c r="C46" s="73" t="str">
        <x:v>$</x:v>
      </x:c>
      <x:c r="D46" s="177" t="n">
        <x:f>SUM(D6:D7)+D23+D36</x:f>
        <x:v>55385000</x:v>
      </x:c>
      <x:c r="E46" s="177" t="n">
        <x:f>SUM(E6:E7)+E23+E36</x:f>
        <x:v>70297500</x:v>
      </x:c>
    </x:row>
    <x:row r="47">
      <x:c r="A47" s="73" t="str">
        <x:v>Tenant-ready pre-finance development cost</x:v>
      </x:c>
      <x:c r="B47" s="73" t="str">
        <x:v>Land + closing + full hard + full soft</x:v>
      </x:c>
      <x:c r="C47" s="73" t="str">
        <x:v>$</x:v>
      </x:c>
      <x:c r="D47" s="177" t="n">
        <x:f>SUM(D6:D7)+D29+D43</x:f>
        <x:v>64618125</x:v>
      </x:c>
      <x:c r="E47" s="177" t="n">
        <x:f>SUM(E6:E7)+E29+E43</x:f>
        <x:v>83483125</x:v>
      </x:c>
    </x:row>
    <x:row r="48">
      <x:c r="A48" s="73" t="str">
        <x:v>Core construction loan</x:v>
      </x:c>
      <x:c r="B48" s="73" t="str">
        <x:v>Core pre-finance × LTC</x:v>
      </x:c>
      <x:c r="C48" s="73" t="str">
        <x:v>$</x:v>
      </x:c>
      <x:c r="D48" s="177" t="n">
        <x:f>D46*'Assumptions'!D50</x:f>
        <x:v>33231000</x:v>
      </x:c>
      <x:c r="E48" s="177" t="n">
        <x:f>E46*'Assumptions'!E50</x:f>
        <x:v>42178500</x:v>
      </x:c>
    </x:row>
    <x:row r="49">
      <x:c r="A49" s="73" t="str">
        <x:v>Tenant-ready construction loan</x:v>
      </x:c>
      <x:c r="B49" s="73" t="str">
        <x:v>Full pre-finance × LTC</x:v>
      </x:c>
      <x:c r="C49" s="73" t="str">
        <x:v>$</x:v>
      </x:c>
      <x:c r="D49" s="177" t="n">
        <x:f>D47*'Assumptions'!D50</x:f>
        <x:v>38770875</x:v>
      </x:c>
      <x:c r="E49" s="177" t="n">
        <x:f>E47*'Assumptions'!E50</x:f>
        <x:v>50089875</x:v>
      </x:c>
    </x:row>
    <x:row r="50">
      <x:c r="A50" s="73" t="str">
        <x:v>Core construction interest</x:v>
      </x:c>
      <x:c r="B50" s="73" t="str">
        <x:v>Loan × rate × months × avg balance</x:v>
      </x:c>
      <x:c r="C50" s="73" t="str">
        <x:v>$</x:v>
      </x:c>
      <x:c r="D50" s="177" t="n">
        <x:f>D48*'Assumptions'!D51*('Assumptions'!D27/12)*'Assumptions'!D52</x:f>
        <x:v>3655410.0000000005</x:v>
      </x:c>
      <x:c r="E50" s="177" t="n">
        <x:f>E48*'Assumptions'!E51*('Assumptions'!E27/12)*'Assumptions'!E52</x:f>
        <x:v>5258253</x:v>
      </x:c>
    </x:row>
    <x:row r="51">
      <x:c r="A51" s="73" t="str">
        <x:v>Tenant-ready construction interest</x:v>
      </x:c>
      <x:c r="B51" s="73" t="str">
        <x:v>Loan × rate × months × avg balance</x:v>
      </x:c>
      <x:c r="C51" s="73" t="str">
        <x:v>$</x:v>
      </x:c>
      <x:c r="D51" s="177" t="n">
        <x:f>D49*'Assumptions'!D51*('Assumptions'!D27/12)*'Assumptions'!D52</x:f>
        <x:v>4264796.25</x:v>
      </x:c>
      <x:c r="E51" s="177" t="n">
        <x:f>E49*'Assumptions'!E51*('Assumptions'!E27/12)*'Assumptions'!E52</x:f>
        <x:v>6244537.750000001</x:v>
      </x:c>
    </x:row>
    <x:row r="52">
      <x:c r="A52" s="73" t="str">
        <x:v>Core financing fees</x:v>
      </x:c>
      <x:c r="B52" s="73" t="str">
        <x:v>Loan × fee %</x:v>
      </x:c>
      <x:c r="C52" s="73" t="str">
        <x:v>$</x:v>
      </x:c>
      <x:c r="D52" s="177" t="n">
        <x:f>D48*'Assumptions'!D53</x:f>
        <x:v>498465</x:v>
      </x:c>
      <x:c r="E52" s="177" t="n">
        <x:f>E48*'Assumptions'!E53</x:f>
        <x:v>632677.5</x:v>
      </x:c>
    </x:row>
    <x:row r="53">
      <x:c r="A53" s="73" t="str">
        <x:v>Tenant-ready financing fees</x:v>
      </x:c>
      <x:c r="B53" s="73" t="str">
        <x:v>Loan × fee %</x:v>
      </x:c>
      <x:c r="C53" s="73" t="str">
        <x:v>$</x:v>
      </x:c>
      <x:c r="D53" s="177" t="n">
        <x:f>D49*'Assumptions'!D53</x:f>
        <x:v>581563.125</x:v>
      </x:c>
      <x:c r="E53" s="177" t="n">
        <x:f>E49*'Assumptions'!E53</x:f>
        <x:v>751348.125</x:v>
      </x:c>
    </x:row>
    <x:row r="54">
      <x:c r="A54" s="73"/>
      <x:c r="B54" s="73"/>
      <x:c r="C54" s="73"/>
      <x:c r="D54" s="57"/>
      <x:c r="E54" s="57"/>
    </x:row>
    <x:row r="55" ht="20" customHeight="1">
      <x:c r="A55" s="72" t="str">
        <x:v>KEY COST OUTPUTS</x:v>
      </x:c>
      <x:c r="B55" s="72"/>
      <x:c r="C55" s="72"/>
      <x:c r="D55" s="56"/>
      <x:c r="E55" s="56"/>
    </x:row>
    <x:row r="56">
      <x:c r="A56" s="178" t="str">
        <x:v>Core &amp; shell all-in project cost</x:v>
      </x:c>
      <x:c r="B56" s="178" t="str">
        <x:v>Includes $8M land; excludes tenant build-outs</x:v>
      </x:c>
      <x:c r="C56" s="178" t="str">
        <x:v>$</x:v>
      </x:c>
      <x:c r="D56" s="179" t="n">
        <x:f>D46+D50+D52</x:f>
        <x:v>59538875</x:v>
      </x:c>
      <x:c r="E56" s="179" t="n">
        <x:f>E46+E50+E52</x:f>
        <x:v>76188430.5</x:v>
      </x:c>
    </x:row>
    <x:row r="57">
      <x:c r="A57" s="180" t="str">
        <x:v>Tenant-ready all-in project cost</x:v>
      </x:c>
      <x:c r="B57" s="180" t="str">
        <x:v>Includes modeled TI and lease-up</x:v>
      </x:c>
      <x:c r="C57" s="180" t="str">
        <x:v>$</x:v>
      </x:c>
      <x:c r="D57" s="181" t="n">
        <x:f>D47+D51+D53</x:f>
        <x:v>69464484.375</x:v>
      </x:c>
      <x:c r="E57" s="181" t="n">
        <x:f>E47+E51+E53</x:f>
        <x:v>90479010.875</x:v>
      </x:c>
    </x:row>
    <x:row r="58">
      <x:c r="A58" s="180" t="str">
        <x:v>Mobility-ready core hard construction</x:v>
      </x:c>
      <x:c r="B58" s="180" t="str">
        <x:v>Core hard cost only; no land / soft / financing</x:v>
      </x:c>
      <x:c r="C58" s="180" t="str">
        <x:v>$</x:v>
      </x:c>
      <x:c r="D58" s="181" t="n">
        <x:f>D23</x:f>
        <x:v>37780000</x:v>
      </x:c>
      <x:c r="E58" s="181" t="n">
        <x:f>E23</x:f>
        <x:v>49710000</x:v>
      </x:c>
    </x:row>
    <x:row r="59">
      <x:c r="A59" s="182" t="str">
        <x:v>Core all-in cost / total GSF</x:v>
      </x:c>
      <x:c r="B59" s="182" t="str">
        <x:v>Core all-in ÷ total constructed area</x:v>
      </x:c>
      <x:c r="C59" s="182" t="str">
        <x:v>$ / GSF</x:v>
      </x:c>
      <x:c r="D59" s="183" t="n">
        <x:f>D56/'Program &amp; Massing'!B17</x:f>
        <x:v>372.11796875</x:v>
      </x:c>
      <x:c r="E59" s="183" t="n">
        <x:f>E56/'Program &amp; Massing'!D17</x:f>
        <x:v>359.3793891509434</x:v>
      </x:c>
    </x:row>
    <x:row r="60">
      <x:c r="A60" s="182" t="str">
        <x:v>Tenant-ready cost / office + ground RSF</x:v>
      </x:c>
      <x:c r="B60" s="182" t="str">
        <x:v>Full all-in ÷ rentable office + ground</x:v>
      </x:c>
      <x:c r="C60" s="182" t="str">
        <x:v>$ / RSF</x:v>
      </x:c>
      <x:c r="D60" s="183" t="n">
        <x:f>D57/('Program &amp; Massing'!B8+'Assumptions'!D14)</x:f>
        <x:v>1367.4111097440946</x:v>
      </x:c>
      <x:c r="E60" s="183" t="n">
        <x:f>E57/('Program &amp; Massing'!D8+'Assumptions'!E14)</x:f>
        <x:v>1270.7726246488764</x:v>
      </x:c>
    </x:row>
    <x:row r="61">
      <x:c r="A61" s="182" t="str">
        <x:v>Land as % of core all-in cost</x:v>
      </x:c>
      <x:c r="B61" s="182" t="str">
        <x:v>Land ÷ core all-in</x:v>
      </x:c>
      <x:c r="C61" s="182" t="str">
        <x:v>%</x:v>
      </x:c>
      <x:c r="D61" s="184" t="n">
        <x:f>D6/D56</x:f>
        <x:v>0.13436599196743304</x:v>
      </x:c>
      <x:c r="E61" s="184" t="n">
        <x:f>E6/E56</x:f>
        <x:v>0.10500281929288463</x:v>
      </x:c>
    </x:row>
  </x:sheetData>
  <x:mergeCells>
    <x:mergeCell ref="A1:E1"/>
    <x:mergeCell ref="A2:E2"/>
    <x:mergeCell ref="A5:E5"/>
    <x:mergeCell ref="A9:E9"/>
    <x:mergeCell ref="A25:E25"/>
    <x:mergeCell ref="A31:E31"/>
    <x:mergeCell ref="A45:E45"/>
    <x:mergeCell ref="A55:E5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13" hidden="0" customWidth="1"/>
    <x:col min="4" max="4" width="14" hidden="0" customWidth="1"/>
    <x:col min="5" max="5" width="13" hidden="0" customWidth="1"/>
    <x:col min="6" max="6" width="55" hidden="0" customWidth="1"/>
    <x:col min="7" max="7" width="35" hidden="0" customWidth="1"/>
  </x:cols>
  <x:sheetData>
    <x:row r="1" ht="28" customHeight="1">
      <x:c r="A1" s="5" t="str">
        <x:v>ENERGY, CHARGING, AV AND DATA INFRASTRUCTURE</x:v>
      </x:c>
      <x:c r="B1" s="5"/>
      <x:c r="C1" s="5"/>
      <x:c r="D1" s="5"/>
      <x:c r="E1" s="5"/>
      <x:c r="F1" s="5"/>
      <x:c r="G1" s="5"/>
    </x:row>
    <x:row r="2" ht="30" customHeight="1">
      <x:c r="A2" s="14" t="str">
        <x:v>The battery is a peak-shaving and resilience tool, not a substitute for utility service. Charger expansion is demand-gated.</x:v>
      </x:c>
      <x:c r="B2" s="14"/>
      <x:c r="C2" s="14"/>
      <x:c r="D2" s="14"/>
      <x:c r="E2" s="14"/>
      <x:c r="F2" s="14"/>
      <x:c r="G2" s="14"/>
    </x:row>
    <x:row r="4" ht="22" customHeight="1">
      <x:c r="A4" s="24" t="str">
        <x:v>Metric</x:v>
      </x:c>
      <x:c r="B4" s="24" t="str">
        <x:v>6-Story</x:v>
      </x:c>
      <x:c r="C4" s="24" t="str">
        <x:v>Unit</x:v>
      </x:c>
      <x:c r="D4" s="24" t="str">
        <x:v>8-Story</x:v>
      </x:c>
      <x:c r="E4" s="24" t="str">
        <x:v>Unit</x:v>
      </x:c>
      <x:c r="F4" s="24" t="str">
        <x:v>Planning Interpretation</x:v>
      </x:c>
      <x:c r="G4" s="24" t="str">
        <x:v>Source / Status</x:v>
      </x:c>
    </x:row>
    <x:row r="5">
      <x:c r="A5" s="42" t="str">
        <x:v>Installed Level 2 ports</x:v>
      </x:c>
      <x:c r="B5" s="202" t="n">
        <x:f>'Assumptions'!D21</x:f>
        <x:v>40</x:v>
      </x:c>
      <x:c r="C5" s="42" t="str">
        <x:v>ports</x:v>
      </x:c>
      <x:c r="D5" s="202" t="n">
        <x:f>'Assumptions'!E21</x:f>
        <x:v>40</x:v>
      </x:c>
      <x:c r="E5" s="42" t="str">
        <x:v>ports</x:v>
      </x:c>
      <x:c r="F5" s="92" t="str">
        <x:v>Day-one networked installation.</x:v>
      </x:c>
      <x:c r="G5" s="92" t="str">
        <x:v>User direction + DOE installation planning.</x:v>
      </x:c>
    </x:row>
    <x:row r="6">
      <x:c r="A6" s="42" t="str">
        <x:v>EV-ready total</x:v>
      </x:c>
      <x:c r="B6" s="202" t="n">
        <x:f>'Assumptions'!D22</x:f>
        <x:v>80</x:v>
      </x:c>
      <x:c r="C6" s="42" t="str">
        <x:v>ports</x:v>
      </x:c>
      <x:c r="D6" s="202" t="n">
        <x:f>'Assumptions'!E22</x:f>
        <x:v>120</x:v>
      </x:c>
      <x:c r="E6" s="42" t="str">
        <x:v>ports</x:v>
      </x:c>
      <x:c r="F6" s="92" t="str">
        <x:v>Conduit, panel and pathway capacity beyond installed units.</x:v>
      </x:c>
      <x:c r="G6" s="92" t="str">
        <x:v>Demand-gated expansion.</x:v>
      </x:c>
    </x:row>
    <x:row r="7">
      <x:c r="A7" s="42" t="str">
        <x:v>Managed EV peak load</x:v>
      </x:c>
      <x:c r="B7" s="203" t="n">
        <x:f>'Assumptions'!D21*'Assumptions'!D69*'Assumptions'!D70</x:f>
        <x:v>192</x:v>
      </x:c>
      <x:c r="C7" s="42" t="str">
        <x:v>kW</x:v>
      </x:c>
      <x:c r="D7" s="203" t="n">
        <x:f>'Assumptions'!E21*'Assumptions'!E69*'Assumptions'!E70</x:f>
        <x:v>192</x:v>
      </x:c>
      <x:c r="E7" s="42" t="str">
        <x:v>kW</x:v>
      </x:c>
      <x:c r="F7" s="92" t="str">
        <x:v>Active load management holds 40-port starting peak near 192 kW.</x:v>
      </x:c>
      <x:c r="G7" s="92" t="str">
        <x:v>Existing electrical model / managed charging.</x:v>
      </x:c>
    </x:row>
    <x:row r="8">
      <x:c r="A8" s="42" t="str">
        <x:v>Office peak planning load</x:v>
      </x:c>
      <x:c r="B8" s="203" t="n">
        <x:f>'Assumptions'!D20*'Assumptions'!D11*'Assumptions'!D71/1000</x:f>
        <x:v>240</x:v>
      </x:c>
      <x:c r="C8" s="42" t="str">
        <x:v>kW</x:v>
      </x:c>
      <x:c r="D8" s="203" t="n">
        <x:f>'Assumptions'!E20*'Assumptions'!E11*'Assumptions'!E71/1000</x:f>
        <x:v>360</x:v>
      </x:c>
      <x:c r="E8" s="42" t="str">
        <x:v>kW</x:v>
      </x:c>
      <x:c r="F8" s="92" t="str">
        <x:v>Excludes imaging, ASC, kitchen and major tenant equipment.</x:v>
      </x:c>
      <x:c r="G8" s="92" t="str">
        <x:v>Engineer must refine.</x:v>
      </x:c>
    </x:row>
    <x:row r="9">
      <x:c r="A9" s="42" t="str">
        <x:v>Ground-floor peak planning load</x:v>
      </x:c>
      <x:c r="B9" s="203" t="n">
        <x:f>'Assumptions'!D9*'Assumptions'!D72/1000</x:f>
        <x:v>168</x:v>
      </x:c>
      <x:c r="C9" s="42" t="str">
        <x:v>kW</x:v>
      </x:c>
      <x:c r="D9" s="203" t="n">
        <x:f>'Assumptions'!E9*'Assumptions'!E72/1000</x:f>
        <x:v>168</x:v>
      </x:c>
      <x:c r="E9" s="42" t="str">
        <x:v>kW</x:v>
      </x:c>
      <x:c r="F9" s="92" t="str">
        <x:v>Retail, café, lobby and fleet operations.</x:v>
      </x:c>
      <x:c r="G9" s="92" t="str">
        <x:v>Engineer must refine.</x:v>
      </x:c>
    </x:row>
    <x:row r="10">
      <x:c r="A10" s="42" t="str">
        <x:v>Garage ancillary peak load</x:v>
      </x:c>
      <x:c r="B10" s="203" t="n">
        <x:f>'Assumptions'!D19*'Assumptions'!D10*'Assumptions'!D73/1000</x:f>
        <x:v>42</x:v>
      </x:c>
      <x:c r="C10" s="42" t="str">
        <x:v>kW</x:v>
      </x:c>
      <x:c r="D10" s="203" t="n">
        <x:f>'Assumptions'!E19*'Assumptions'!E10*'Assumptions'!E73/1000</x:f>
        <x:v>56</x:v>
      </x:c>
      <x:c r="E10" s="42" t="str">
        <x:v>kW</x:v>
      </x:c>
      <x:c r="F10" s="92" t="str">
        <x:v>Lighting, access, controls and ventilation allowance.</x:v>
      </x:c>
      <x:c r="G10" s="92" t="str">
        <x:v>Engineer must refine.</x:v>
      </x:c>
    </x:row>
    <x:row r="11">
      <x:c r="A11" s="42" t="str">
        <x:v>Total planning peak before headroom</x:v>
      </x:c>
      <x:c r="B11" s="203" t="n">
        <x:f>SUM(B7:B10)</x:f>
        <x:v>642</x:v>
      </x:c>
      <x:c r="C11" s="42" t="str">
        <x:v>kW</x:v>
      </x:c>
      <x:c r="D11" s="203" t="n">
        <x:f>SUM(D7:D10)</x:f>
        <x:v>776</x:v>
      </x:c>
      <x:c r="E11" s="42" t="str">
        <x:v>kW</x:v>
      </x:c>
      <x:c r="F11" s="92" t="str">
        <x:v>Early planning total only.</x:v>
      </x:c>
      <x:c r="G11" s="92" t="str">
        <x:v>Not an FPL load letter.</x:v>
      </x:c>
    </x:row>
    <x:row r="12">
      <x:c r="A12" s="42" t="str">
        <x:v>Calculated service with headroom</x:v>
      </x:c>
      <x:c r="B12" s="204" t="n">
        <x:f>B11*(1+'Assumptions'!D74)/1000</x:f>
        <x:v>0.8025</x:v>
      </x:c>
      <x:c r="C12" s="42" t="str">
        <x:v>MVA</x:v>
      </x:c>
      <x:c r="D12" s="204" t="n">
        <x:f>D11*(1+'Assumptions'!E74)/1000</x:f>
        <x:v>0.97</x:v>
      </x:c>
      <x:c r="E12" s="42" t="str">
        <x:v>MVA</x:v>
      </x:c>
      <x:c r="F12" s="92" t="str">
        <x:v>Minimum calculation before future DCFC or imaging.</x:v>
      </x:c>
      <x:c r="G12" s="92" t="str">
        <x:v>Planning formula.</x:v>
      </x:c>
    </x:row>
    <x:row r="13">
      <x:c r="A13" s="42" t="str">
        <x:v>Recommended service target</x:v>
      </x:c>
      <x:c r="B13" s="204" t="n">
        <x:f>'Assumptions'!D75</x:f>
        <x:v>1.5</x:v>
      </x:c>
      <x:c r="C13" s="42" t="str">
        <x:v>MVA</x:v>
      </x:c>
      <x:c r="D13" s="204" t="n">
        <x:f>'Assumptions'!E75</x:f>
        <x:v>2</x:v>
      </x:c>
      <x:c r="E13" s="42" t="str">
        <x:v>MVA</x:v>
      </x:c>
      <x:c r="F13" s="92" t="str">
        <x:v>Provides practical expansion margin; still subject to FPL.</x:v>
      </x:c>
      <x:c r="G13" s="92" t="str">
        <x:v>High uncertainty.</x:v>
      </x:c>
    </x:row>
    <x:row r="14">
      <x:c r="A14" s="42" t="str">
        <x:v>Solar capacity</x:v>
      </x:c>
      <x:c r="B14" s="202" t="n">
        <x:f>'Assumptions'!D23</x:f>
        <x:v>150</x:v>
      </x:c>
      <x:c r="C14" s="42" t="str">
        <x:v>kWdc</x:v>
      </x:c>
      <x:c r="D14" s="202" t="n">
        <x:f>'Assumptions'!E23</x:f>
        <x:v>200</x:v>
      </x:c>
      <x:c r="E14" s="42" t="str">
        <x:v>kWdc</x:v>
      </x:c>
      <x:c r="F14" s="92" t="str">
        <x:v>Prioritize standard rooftop arrays; use canopy only where it also provides valuable shade.</x:v>
      </x:c>
      <x:c r="G14" s="92" t="str">
        <x:v>NLR commercial PV cost framework.</x:v>
      </x:c>
    </x:row>
    <x:row r="15">
      <x:c r="A15" s="42" t="str">
        <x:v>Estimated annual solar generation</x:v>
      </x:c>
      <x:c r="B15" s="202" t="n">
        <x:f>B14*1500</x:f>
        <x:v>225000</x:v>
      </x:c>
      <x:c r="C15" s="42" t="str">
        <x:v>kWh / yr</x:v>
      </x:c>
      <x:c r="D15" s="202" t="n">
        <x:f>D14*1500</x:f>
        <x:v>300000</x:v>
      </x:c>
      <x:c r="E15" s="42" t="str">
        <x:v>kWh / yr</x:v>
      </x:c>
      <x:c r="F15" s="92" t="str">
        <x:v>Uses 1,500 kWh/kW-year planning factor; verify with final layout and shading.</x:v>
      </x:c>
      <x:c r="G15" s="92" t="str">
        <x:v>Existing project electrical model.</x:v>
      </x:c>
    </x:row>
    <x:row r="16">
      <x:c r="A16" s="42" t="str">
        <x:v>Battery capacity</x:v>
      </x:c>
      <x:c r="B16" s="202" t="n">
        <x:f>'Assumptions'!D24</x:f>
        <x:v>500</x:v>
      </x:c>
      <x:c r="C16" s="42" t="str">
        <x:v>kWh</x:v>
      </x:c>
      <x:c r="D16" s="202" t="n">
        <x:f>'Assumptions'!E24</x:f>
        <x:v>1000</x:v>
      </x:c>
      <x:c r="E16" s="42" t="str">
        <x:v>kWh</x:v>
      </x:c>
      <x:c r="F16" s="92" t="str">
        <x:v>Peak shaving, ride-through and solar capture.</x:v>
      </x:c>
      <x:c r="G16" s="92" t="str">
        <x:v>Not emergency generator replacement.</x:v>
      </x:c>
    </x:row>
    <x:row r="17">
      <x:c r="A17" s="42" t="str">
        <x:v>Battery duration at managed EV peak</x:v>
      </x:c>
      <x:c r="B17" s="204" t="n">
        <x:f>B16/B7</x:f>
        <x:v>2.6041666666666665</x:v>
      </x:c>
      <x:c r="C17" s="42" t="str">
        <x:v>hours</x:v>
      </x:c>
      <x:c r="D17" s="204" t="n">
        <x:f>D16/D7</x:f>
        <x:v>5.208333333333333</x:v>
      </x:c>
      <x:c r="E17" s="42" t="str">
        <x:v>hours</x:v>
      </x:c>
      <x:c r="F17" s="92" t="str">
        <x:v>Shows why BESS reduces demand but cannot carry the entire site for long.</x:v>
      </x:c>
      <x:c r="G17" s="92" t="str">
        <x:v>Planning calculation.</x:v>
      </x:c>
    </x:row>
    <x:row r="18">
      <x:c r="A18" s="42" t="str">
        <x:v>Edge / fleet data room</x:v>
      </x:c>
      <x:c r="B18" s="202" t="n">
        <x:f>'Assumptions'!D25</x:f>
        <x:v>1500</x:v>
      </x:c>
      <x:c r="C18" s="42" t="str">
        <x:v>SF</x:v>
      </x:c>
      <x:c r="D18" s="202" t="n">
        <x:f>'Assumptions'!E25</x:f>
        <x:v>2000</x:v>
      </x:c>
      <x:c r="E18" s="42" t="str">
        <x:v>SF</x:v>
      </x:c>
      <x:c r="F18" s="92" t="str">
        <x:v>Teleoperations, building analytics, fleet dispatch, storage and limited inference.</x:v>
      </x:c>
      <x:c r="G18" s="92" t="str">
        <x:v>Avoid calling this a data center until power and cooling scope is defined.</x:v>
      </x:c>
    </x:row>
    <x:row r="19">
      <x:c r="A19" s="42" t="str">
        <x:v>DC fast charger hardware</x:v>
      </x:c>
      <x:c r="B19" s="205" t="n">
        <x:v>0</x:v>
      </x:c>
      <x:c r="C19" s="42" t="str">
        <x:v>installed</x:v>
      </x:c>
      <x:c r="D19" s="205" t="n">
        <x:v>0</x:v>
      </x:c>
      <x:c r="E19" s="42" t="str">
        <x:v>installed</x:v>
      </x:c>
      <x:c r="F19" s="92" t="str">
        <x:v>Provide 4 stub-outs / equipment pads but install hardware only after an operator commitment.</x:v>
      </x:c>
      <x:c r="G19" s="92" t="str">
        <x:v>Excluded from base cost except backbone allowance.</x:v>
      </x:c>
    </x:row>
    <x:row r="20">
      <x:c r="A20" s="42" t="str">
        <x:v>30C charger tax credit assumed</x:v>
      </x:c>
      <x:c r="B20" s="206" t="n">
        <x:v>0</x:v>
      </x:c>
      <x:c r="C20" s="42" t="str">
        <x:v>%</x:v>
      </x:c>
      <x:c r="D20" s="206" t="n">
        <x:v>0</x:v>
      </x:c>
      <x:c r="E20" s="42" t="str">
        <x:v>%</x:v>
      </x:c>
      <x:c r="F20" s="92" t="str">
        <x:v>No credit underwritten: current federal 30C eligibility ends for property placed in service after June 30, 2026.</x:v>
      </x:c>
      <x:c r="G20" s="92" t="str">
        <x:v>IRS current guidance.</x:v>
      </x:c>
    </x:row>
    <x:row r="21">
      <x:c r="A21" s="42" t="str">
        <x:v>Solar / storage tax credit assumed</x:v>
      </x:c>
      <x:c r="B21" s="206" t="n">
        <x:v>0</x:v>
      </x:c>
      <x:c r="C21" s="42" t="str">
        <x:v>%</x:v>
      </x:c>
      <x:c r="D21" s="206" t="n">
        <x:v>0</x:v>
      </x:c>
      <x:c r="E21" s="42" t="str">
        <x:v>%</x:v>
      </x:c>
      <x:c r="F21" s="92" t="str">
        <x:v>No credit underwritten until tax counsel confirms construction-start and placed-in-service eligibility.</x:v>
      </x:c>
      <x:c r="G21" s="92" t="str">
        <x:v>IRS 48E rules changed in 2025-2026.</x:v>
      </x:c>
    </x:row>
    <x:row r="23" ht="20" customHeight="1">
      <x:c r="A23" s="33" t="str">
        <x:v>SITE CIRCULATION CONCEPT</x:v>
      </x:c>
      <x:c r="B23" s="33"/>
      <x:c r="C23" s="33"/>
      <x:c r="D23" s="33"/>
      <x:c r="E23" s="33"/>
      <x:c r="F23" s="33"/>
      <x:c r="G23" s="33"/>
    </x:row>
    <x:row r="24" ht="26" customHeight="1">
      <x:c r="A24" s="142" t="str">
        <x:v>Public / patient entry</x:v>
      </x:c>
      <x:c r="B24" s="142"/>
      <x:c r="C24" s="42" t="str">
        <x:v>Secondary street edge; direct to public ramp and clinical elevator.</x:v>
      </x:c>
      <x:c r="D24" s="42"/>
      <x:c r="E24" s="42"/>
      <x:c r="F24" s="42"/>
      <x:c r="G24" s="42"/>
    </x:row>
    <x:row r="25" ht="26" customHeight="1">
      <x:c r="A25" s="142" t="str">
        <x:v>AV ingress</x:v>
      </x:c>
      <x:c r="B25" s="142"/>
      <x:c r="C25" s="42" t="str">
        <x:v>Separate controlled curb cut feeding secured ground staging; avoid crossing patient drop-off.</x:v>
      </x:c>
      <x:c r="D25" s="42"/>
      <x:c r="E25" s="42"/>
      <x:c r="F25" s="42"/>
      <x:c r="G25" s="42"/>
    </x:row>
    <x:row r="26" ht="26" customHeight="1">
      <x:c r="A26" s="142" t="str">
        <x:v>AV egress</x:v>
      </x:c>
      <x:c r="B26" s="142"/>
      <x:c r="C26" s="42" t="str">
        <x:v>Second secondary-street curb cut, subject to traffic engineering and City approval.</x:v>
      </x:c>
      <x:c r="D26" s="42"/>
      <x:c r="E26" s="42"/>
      <x:c r="F26" s="42"/>
      <x:c r="G26" s="42"/>
    </x:row>
    <x:row r="27" ht="26" customHeight="1">
      <x:c r="A27" s="142" t="str">
        <x:v>South Andrews frontage</x:v>
      </x:c>
      <x:c r="B27" s="142"/>
      <x:c r="C27" s="42" t="str">
        <x:v>Medical retail, café, lobby and pedestrian realm—not the fleet throat.</x:v>
      </x:c>
      <x:c r="D27" s="42"/>
      <x:c r="E27" s="42"/>
      <x:c r="F27" s="42"/>
      <x:c r="G27" s="42"/>
    </x:row>
    <x:row r="28" ht="26" customHeight="1">
      <x:c r="A28" s="142" t="str">
        <x:v>FPL access</x:v>
      </x:c>
      <x:c r="B28" s="142"/>
      <x:c r="C28" s="42" t="str">
        <x:v>Transformer / switchgear zone must remain independently accessible without entering the secure AV loop.</x:v>
      </x:c>
      <x:c r="D28" s="42"/>
      <x:c r="E28" s="42"/>
      <x:c r="F28" s="42"/>
      <x:c r="G28" s="42"/>
    </x:row>
  </x:sheetData>
  <x:mergeCells>
    <x:mergeCell ref="A1:G1"/>
    <x:mergeCell ref="A2:G2"/>
    <x:mergeCell ref="A23:G23"/>
    <x:mergeCell ref="A24:B24"/>
    <x:mergeCell ref="C24:G24"/>
    <x:mergeCell ref="A25:B25"/>
    <x:mergeCell ref="C25:G25"/>
    <x:mergeCell ref="A26:B26"/>
    <x:mergeCell ref="C26:G26"/>
    <x:mergeCell ref="A27:B27"/>
    <x:mergeCell ref="C27:G27"/>
    <x:mergeCell ref="A28:B28"/>
    <x:mergeCell ref="C28:G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42" hidden="0" customWidth="1"/>
    <x:col min="3" max="3" width="14" hidden="0" customWidth="1"/>
    <x:col min="4" max="4" width="18" hidden="0" customWidth="1"/>
    <x:col min="5" max="5" width="18" hidden="0" customWidth="1"/>
  </x:cols>
  <x:sheetData>
    <x:row r="1" ht="28" customHeight="1">
      <x:c r="A1" s="5" t="str">
        <x:v>PRELIMINARY OPERATING FEASIBILITY</x:v>
      </x:c>
      <x:c r="B1" s="5"/>
      <x:c r="C1" s="5"/>
      <x:c r="D1" s="5"/>
      <x:c r="E1" s="5"/>
    </x:row>
    <x:row r="2" ht="30" customHeight="1">
      <x:c r="A2" s="14" t="str">
        <x:v>This is not a lease-up forecast. It shows how much partner support or above-market revenue is needed for the infrastructure-heavy concept to reach an institutional yield.</x:v>
      </x:c>
      <x:c r="B2" s="14"/>
      <x:c r="C2" s="14"/>
      <x:c r="D2" s="14"/>
      <x:c r="E2" s="14"/>
    </x:row>
    <x:row r="4" ht="22" customHeight="1">
      <x:c r="A4" s="24" t="str">
        <x:v>Revenue / Value Metric</x:v>
      </x:c>
      <x:c r="B4" s="24" t="str">
        <x:v>Basis</x:v>
      </x:c>
      <x:c r="C4" s="24" t="str">
        <x:v>Unit</x:v>
      </x:c>
      <x:c r="D4" s="24" t="str">
        <x:v>6-Story</x:v>
      </x:c>
      <x:c r="E4" s="24" t="str">
        <x:v>8-Story</x:v>
      </x:c>
    </x:row>
    <x:row r="5" ht="20" customHeight="1">
      <x:c r="A5" s="72" t="str">
        <x:v>STABILIZED EFFECTIVE GROSS INCOME</x:v>
      </x:c>
      <x:c r="B5" s="72"/>
      <x:c r="C5" s="72"/>
      <x:c r="D5" s="56"/>
      <x:c r="E5" s="56"/>
    </x:row>
    <x:row r="6">
      <x:c r="A6" s="73" t="str">
        <x:v>Office / medical EGI</x:v>
      </x:c>
      <x:c r="B6" s="73" t="str">
        <x:v>Office RSF × rent × occupancy</x:v>
      </x:c>
      <x:c r="C6" s="73" t="str">
        <x:v>$ / yr</x:v>
      </x:c>
      <x:c r="D6" s="172" t="n">
        <x:f>'Program &amp; Massing'!B8*'Assumptions'!D55*'Assumptions'!D56</x:f>
        <x:v>1897200</x:v>
      </x:c>
      <x:c r="E6" s="172" t="n">
        <x:f>'Program &amp; Massing'!D8*'Assumptions'!E55*'Assumptions'!E56</x:f>
        <x:v>2845800</x:v>
      </x:c>
    </x:row>
    <x:row r="7">
      <x:c r="A7" s="73" t="str">
        <x:v>Ground med-tail / café EGI</x:v>
      </x:c>
      <x:c r="B7" s="73" t="str">
        <x:v>Ground RSF × rent × occupancy</x:v>
      </x:c>
      <x:c r="C7" s="73" t="str">
        <x:v>$ / yr</x:v>
      </x:c>
      <x:c r="D7" s="172" t="n">
        <x:f>'Assumptions'!D14*'Assumptions'!D57*'Assumptions'!D58</x:f>
        <x:v>427500</x:v>
      </x:c>
      <x:c r="E7" s="172" t="n">
        <x:f>'Assumptions'!E14*'Assumptions'!E57*'Assumptions'!E58</x:f>
        <x:v>427500</x:v>
      </x:c>
    </x:row>
    <x:row r="8">
      <x:c r="A8" s="73" t="str">
        <x:v>Edge / data room EGI</x:v>
      </x:c>
      <x:c r="B8" s="73" t="str">
        <x:v>Data SF × rent × office occupancy</x:v>
      </x:c>
      <x:c r="C8" s="73" t="str">
        <x:v>$ / yr</x:v>
      </x:c>
      <x:c r="D8" s="172" t="n">
        <x:f>'Assumptions'!D25*'Assumptions'!D59*'Assumptions'!D56</x:f>
        <x:v>76725</x:v>
      </x:c>
      <x:c r="E8" s="172" t="n">
        <x:f>'Assumptions'!E25*'Assumptions'!E59*'Assumptions'!E56</x:f>
        <x:v>102300</x:v>
      </x:c>
    </x:row>
    <x:row r="9">
      <x:c r="A9" s="73" t="str">
        <x:v>Monetized structured parking</x:v>
      </x:c>
      <x:c r="B9" s="73" t="str">
        <x:v>Stalls × monetized share × monthly revenue</x:v>
      </x:c>
      <x:c r="C9" s="73" t="str">
        <x:v>$ / yr</x:v>
      </x:c>
      <x:c r="D9" s="172" t="n">
        <x:f>'Program &amp; Massing'!B11*'Assumptions'!D60*'Assumptions'!D61*12</x:f>
        <x:v>419265</x:v>
      </x:c>
      <x:c r="E9" s="172" t="n">
        <x:f>'Program &amp; Massing'!D11*'Assumptions'!E60*'Assumptions'!E61*12</x:f>
        <x:v>559020</x:v>
      </x:c>
    </x:row>
    <x:row r="10">
      <x:c r="A10" s="73" t="str">
        <x:v>EV charging net revenue</x:v>
      </x:c>
      <x:c r="B10" s="73" t="str">
        <x:v>Installed ports × net monthly revenue</x:v>
      </x:c>
      <x:c r="C10" s="73" t="str">
        <x:v>$ / yr</x:v>
      </x:c>
      <x:c r="D10" s="172" t="n">
        <x:f>'Assumptions'!D21*'Assumptions'!D62*12</x:f>
        <x:v>120000</x:v>
      </x:c>
      <x:c r="E10" s="172" t="n">
        <x:f>'Assumptions'!E21*'Assumptions'!E62*12</x:f>
        <x:v>120000</x:v>
      </x:c>
    </x:row>
    <x:row r="11">
      <x:c r="A11" s="73" t="str">
        <x:v>AV staging / secure bay revenue</x:v>
      </x:c>
      <x:c r="B11" s="73" t="str">
        <x:v>Ground bays × monthly lease equivalent</x:v>
      </x:c>
      <x:c r="C11" s="73" t="str">
        <x:v>$ / yr</x:v>
      </x:c>
      <x:c r="D11" s="172" t="n">
        <x:f>'Assumptions'!D16*'Assumptions'!D63*12</x:f>
        <x:v>194400</x:v>
      </x:c>
      <x:c r="E11" s="172" t="n">
        <x:f>'Assumptions'!E16*'Assumptions'!E63*12</x:f>
        <x:v>194400</x:v>
      </x:c>
    </x:row>
    <x:row r="12">
      <x:c r="A12" s="173" t="str">
        <x:v>Total EGI</x:v>
      </x:c>
      <x:c r="B12" s="173" t="str">
        <x:v>Sum</x:v>
      </x:c>
      <x:c r="C12" s="173" t="str">
        <x:v>$ / yr</x:v>
      </x:c>
      <x:c r="D12" s="174" t="n">
        <x:f>SUM(D6:D11)</x:f>
        <x:v>3135090</x:v>
      </x:c>
      <x:c r="E12" s="174" t="n">
        <x:f>SUM(E6:E11)</x:f>
        <x:v>4249020</x:v>
      </x:c>
    </x:row>
    <x:row r="13">
      <x:c r="A13" s="73"/>
      <x:c r="B13" s="73"/>
      <x:c r="C13" s="73"/>
      <x:c r="D13" s="57"/>
      <x:c r="E13" s="57"/>
    </x:row>
    <x:row r="14" ht="20" customHeight="1">
      <x:c r="A14" s="72" t="str">
        <x:v>OPERATING EXPENSES AND NOI</x:v>
      </x:c>
      <x:c r="B14" s="72"/>
      <x:c r="C14" s="72"/>
      <x:c r="D14" s="56"/>
      <x:c r="E14" s="56"/>
    </x:row>
    <x:row r="15">
      <x:c r="A15" s="73" t="str">
        <x:v>Office / retail / data operating expense</x:v>
      </x:c>
      <x:c r="B15" s="73" t="str">
        <x:v>(Office + retail + data EGI) × expense ratio</x:v>
      </x:c>
      <x:c r="C15" s="73" t="str">
        <x:v>$ / yr</x:v>
      </x:c>
      <x:c r="D15" s="177" t="n">
        <x:f>-(SUM(D6:D8)*'Assumptions'!D64)</x:f>
        <x:v>-600356.25</x:v>
      </x:c>
      <x:c r="E15" s="177" t="n">
        <x:f>-(SUM(E6:E8)*'Assumptions'!E64)</x:f>
        <x:v>-843900</x:v>
      </x:c>
    </x:row>
    <x:row r="16">
      <x:c r="A16" s="73" t="str">
        <x:v>Parking / EV / AV operating expense</x:v>
      </x:c>
      <x:c r="B16" s="73" t="str">
        <x:v>(Parking + EV + AV EGI) × expense ratio</x:v>
      </x:c>
      <x:c r="C16" s="73" t="str">
        <x:v>$ / yr</x:v>
      </x:c>
      <x:c r="D16" s="177" t="n">
        <x:f>-(SUM(D9:D11)*'Assumptions'!D65)</x:f>
        <x:v>-256782.74999999997</x:v>
      </x:c>
      <x:c r="E16" s="177" t="n">
        <x:f>-(SUM(E9:E11)*'Assumptions'!E65)</x:f>
        <x:v>-305697</x:v>
      </x:c>
    </x:row>
    <x:row r="17">
      <x:c r="A17" s="178" t="str">
        <x:v>Stabilized NOI</x:v>
      </x:c>
      <x:c r="B17" s="178" t="str">
        <x:v>EGI + operating expenses</x:v>
      </x:c>
      <x:c r="C17" s="178" t="str">
        <x:v>$ / yr</x:v>
      </x:c>
      <x:c r="D17" s="179" t="n">
        <x:f>SUM(D12,D15:D16)</x:f>
        <x:v>2277951</x:v>
      </x:c>
      <x:c r="E17" s="179" t="n">
        <x:f>SUM(E12,E15:E16)</x:f>
        <x:v>3099423</x:v>
      </x:c>
    </x:row>
    <x:row r="18">
      <x:c r="A18" s="73"/>
      <x:c r="B18" s="73"/>
      <x:c r="C18" s="73"/>
      <x:c r="D18" s="57"/>
      <x:c r="E18" s="57"/>
    </x:row>
    <x:row r="19" ht="20" customHeight="1">
      <x:c r="A19" s="72" t="str">
        <x:v>VALUE, YIELD AND PARTNER REQUIREMENT</x:v>
      </x:c>
      <x:c r="B19" s="72"/>
      <x:c r="C19" s="72"/>
      <x:c r="D19" s="56"/>
      <x:c r="E19" s="56"/>
    </x:row>
    <x:row r="20">
      <x:c r="A20" s="73" t="str">
        <x:v>Indicated stabilized value</x:v>
      </x:c>
      <x:c r="B20" s="73" t="str">
        <x:v>NOI ÷ cap rate</x:v>
      </x:c>
      <x:c r="C20" s="73" t="str">
        <x:v>$</x:v>
      </x:c>
      <x:c r="D20" s="172" t="n">
        <x:f>D17/'Assumptions'!D67</x:f>
        <x:v>31420013.79310345</x:v>
      </x:c>
      <x:c r="E20" s="172" t="n">
        <x:f>E17/'Assumptions'!E67</x:f>
        <x:v>42750662.06896552</x:v>
      </x:c>
    </x:row>
    <x:row r="21">
      <x:c r="A21" s="73" t="str">
        <x:v>Yield on cost — core &amp; shell</x:v>
      </x:c>
      <x:c r="B21" s="73" t="str">
        <x:v>NOI ÷ core all-in cost</x:v>
      </x:c>
      <x:c r="C21" s="73" t="str">
        <x:v>%</x:v>
      </x:c>
      <x:c r="D21" s="228" t="n">
        <x:f>D17/'Construction Budget'!D56</x:f>
        <x:v>0.038259893221025756</x:v>
      </x:c>
      <x:c r="E21" s="228" t="n">
        <x:f>E17/'Construction Budget'!E56</x:f>
        <x:v>0.04068101914765129</x:v>
      </x:c>
    </x:row>
    <x:row r="22">
      <x:c r="A22" s="73" t="str">
        <x:v>Yield on cost — tenant-ready</x:v>
      </x:c>
      <x:c r="B22" s="73" t="str">
        <x:v>NOI ÷ tenant-ready all-in cost</x:v>
      </x:c>
      <x:c r="C22" s="73" t="str">
        <x:v>%</x:v>
      </x:c>
      <x:c r="D22" s="228" t="n">
        <x:f>D17/'Construction Budget'!D57</x:f>
        <x:v>0.03279303115103559</x:v>
      </x:c>
      <x:c r="E22" s="228" t="n">
        <x:f>E17/'Construction Budget'!E57</x:f>
        <x:v>0.03425571267884398</x:v>
      </x:c>
    </x:row>
    <x:row r="23">
      <x:c r="A23" s="73" t="str">
        <x:v>Target NOI — core &amp; shell</x:v>
      </x:c>
      <x:c r="B23" s="73" t="str">
        <x:v>Core all-in × target YOC</x:v>
      </x:c>
      <x:c r="C23" s="73" t="str">
        <x:v>$ / yr</x:v>
      </x:c>
      <x:c r="D23" s="172" t="n">
        <x:f>'Construction Budget'!D56*'Assumptions'!D66</x:f>
        <x:v>4167721.2500000005</x:v>
      </x:c>
      <x:c r="E23" s="172" t="n">
        <x:f>'Construction Budget'!E56*'Assumptions'!E66</x:f>
        <x:v>5333190.135000001</x:v>
      </x:c>
    </x:row>
    <x:row r="24">
      <x:c r="A24" s="73" t="str">
        <x:v>Target NOI — tenant-ready</x:v>
      </x:c>
      <x:c r="B24" s="73" t="str">
        <x:v>Full all-in × target YOC</x:v>
      </x:c>
      <x:c r="C24" s="73" t="str">
        <x:v>$ / yr</x:v>
      </x:c>
      <x:c r="D24" s="172" t="n">
        <x:f>'Construction Budget'!D57*'Assumptions'!D66</x:f>
        <x:v>4862513.90625</x:v>
      </x:c>
      <x:c r="E24" s="172" t="n">
        <x:f>'Construction Budget'!E57*'Assumptions'!E66</x:f>
        <x:v>6333530.76125</x:v>
      </x:c>
    </x:row>
    <x:row r="25">
      <x:c r="A25" s="229" t="str">
        <x:v>Annual partner / grant / master-lease gap — core</x:v>
      </x:c>
      <x:c r="B25" s="229" t="str">
        <x:v>Target NOI less base NOI</x:v>
      </x:c>
      <x:c r="C25" s="229" t="str">
        <x:v>$ / yr</x:v>
      </x:c>
      <x:c r="D25" s="230" t="n">
        <x:f>MAX(0,D23-D17)</x:f>
        <x:v>1889770.2500000005</x:v>
      </x:c>
      <x:c r="E25" s="230" t="n">
        <x:f>MAX(0,E23-E17)</x:f>
        <x:v>2233767.1350000007</x:v>
      </x:c>
    </x:row>
    <x:row r="26">
      <x:c r="A26" s="229" t="str">
        <x:v>Annual partner / grant / master-lease gap — tenant-ready</x:v>
      </x:c>
      <x:c r="B26" s="229" t="str">
        <x:v>Target NOI less base NOI</x:v>
      </x:c>
      <x:c r="C26" s="229" t="str">
        <x:v>$ / yr</x:v>
      </x:c>
      <x:c r="D26" s="230" t="n">
        <x:f>MAX(0,D24-D17)</x:f>
        <x:v>2584562.90625</x:v>
      </x:c>
      <x:c r="E26" s="230" t="n">
        <x:f>MAX(0,E24-E17)</x:f>
        <x:v>3234107.7612500004</x:v>
      </x:c>
    </x:row>
    <x:row r="27">
      <x:c r="A27" s="73" t="str">
        <x:v>Value gap vs core development cost</x:v>
      </x:c>
      <x:c r="B27" s="73" t="str">
        <x:v>Indicated value less core all-in</x:v>
      </x:c>
      <x:c r="C27" s="73" t="str">
        <x:v>$</x:v>
      </x:c>
      <x:c r="D27" s="172" t="n">
        <x:f>D20-'Construction Budget'!D56</x:f>
        <x:v>-28118861.20689655</x:v>
      </x:c>
      <x:c r="E27" s="172" t="n">
        <x:f>E20-'Construction Budget'!E56</x:f>
        <x:v>-33437768.431034483</x:v>
      </x:c>
    </x:row>
    <x:row r="28">
      <x:c r="A28" s="73" t="str">
        <x:v>Value gap vs tenant-ready development cost</x:v>
      </x:c>
      <x:c r="B28" s="73" t="str">
        <x:v>Indicated value less full all-in</x:v>
      </x:c>
      <x:c r="C28" s="73" t="str">
        <x:v>$</x:v>
      </x:c>
      <x:c r="D28" s="172" t="n">
        <x:f>D20-'Construction Budget'!D57</x:f>
        <x:v>-38044470.58189655</x:v>
      </x:c>
      <x:c r="E28" s="172" t="n">
        <x:f>E20-'Construction Budget'!E57</x:f>
        <x:v>-47728348.80603448</x:v>
      </x:c>
    </x:row>
    <x:row r="29">
      <x:c r="A29" s="73"/>
      <x:c r="B29" s="73"/>
      <x:c r="C29" s="73"/>
      <x:c r="D29" s="57"/>
      <x:c r="E29" s="57"/>
    </x:row>
    <x:row r="30" ht="20" customHeight="1">
      <x:c r="A30" s="72" t="str">
        <x:v>MODEL READ</x:v>
      </x:c>
      <x:c r="B30" s="72"/>
      <x:c r="C30" s="72"/>
      <x:c r="D30" s="56"/>
      <x:c r="E30" s="56"/>
    </x:row>
    <x:row r="31" ht="52" customHeight="1">
      <x:c r="A31" s="231" t="str">
        <x:v>The balanced 8-story stack produces more office income and a slightly stronger revenue profile, but the specialized garage, resilience and energy infrastructure still create a large yield gap. Do not underwrite AV or charger upside without a signed master lease, minimum-use guarantee, capital contribution, grant, or other contracted support.</x:v>
      </x:c>
      <x:c r="B31" s="231"/>
      <x:c r="C31" s="231"/>
      <x:c r="D31" s="231"/>
      <x:c r="E31" s="231"/>
    </x:row>
  </x:sheetData>
  <x:mergeCells>
    <x:mergeCell ref="A1:E1"/>
    <x:mergeCell ref="A2:E2"/>
    <x:mergeCell ref="A5:E5"/>
    <x:mergeCell ref="A14:E14"/>
    <x:mergeCell ref="A19:E19"/>
    <x:mergeCell ref="A30:E30"/>
    <x:mergeCell ref="A31:E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6" hidden="0" customWidth="1"/>
    <x:col min="5" max="5" width="14" hidden="0" customWidth="1"/>
    <x:col min="6" max="6" width="15" hidden="0" customWidth="1"/>
    <x:col min="7" max="7" width="31" hidden="0" customWidth="1"/>
    <x:col min="8" max="8" width="24" hidden="0" customWidth="1"/>
  </x:cols>
  <x:sheetData>
    <x:row r="1" ht="28" customHeight="1">
      <x:c r="A1" s="5" t="str">
        <x:v>CONSTRUCTION COST AND LAND BASIS SENSITIVITY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4" t="str">
        <x:v>Low / base / high cases vary hard costs, soft costs and debt pricing. The $8.0M offer remains the base case.</x:v>
      </x:c>
      <x:c r="B2" s="14"/>
      <x:c r="C2" s="14"/>
      <x:c r="D2" s="14"/>
      <x:c r="E2" s="14"/>
      <x:c r="F2" s="14"/>
      <x:c r="G2" s="14"/>
      <x:c r="H2" s="14"/>
    </x:row>
    <x:row r="4" ht="20" customHeight="1">
      <x:c r="A4" s="33" t="str">
        <x:v>CORE &amp; SHELL ALL-IN COST SENSITIVITY</x:v>
      </x:c>
      <x:c r="B4" s="33"/>
      <x:c r="C4" s="33"/>
      <x:c r="D4" s="33"/>
      <x:c r="E4" s="33"/>
      <x:c r="F4" s="33"/>
      <x:c r="G4" s="33"/>
      <x:c r="H4" s="33"/>
    </x:row>
    <x:row r="5" ht="22" customHeight="1">
      <x:c r="A5" s="24" t="str">
        <x:v>Case</x:v>
      </x:c>
      <x:c r="B5" s="24" t="str">
        <x:v>Hard Cost Factor</x:v>
      </x:c>
      <x:c r="C5" s="24" t="str">
        <x:v>Soft Cost Factor</x:v>
      </x:c>
      <x:c r="D5" s="24" t="str">
        <x:v>Loan Rate</x:v>
      </x:c>
      <x:c r="E5" s="24" t="str">
        <x:v>6-Story Core Cost</x:v>
      </x:c>
      <x:c r="F5" s="24" t="str">
        <x:v>8-Story Core Cost</x:v>
      </x:c>
      <x:c r="G5" s="24" t="str">
        <x:v>6-Story Δ vs Base</x:v>
      </x:c>
      <x:c r="H5" s="24" t="str">
        <x:v>8-Story Δ vs Base</x:v>
      </x:c>
    </x:row>
    <x:row r="6">
      <x:c r="A6" t="str">
        <x:v>Low</x:v>
      </x:c>
      <x:c r="B6" s="50" t="n">
        <x:v>0.9</x:v>
      </x:c>
      <x:c r="C6" s="50" t="n">
        <x:v>0.9</x:v>
      </x:c>
      <x:c r="D6" s="50" t="n">
        <x:v>0.07</x:v>
      </x:c>
      <x:c r="E6" s="128" t="n">
        <x:f>('Construction Budget'!D6+'Construction Budget'!D7+'Construction Budget'!D23*B6+'Construction Budget'!D36*C6)+(('Construction Budget'!D6+'Construction Budget'!D7+'Construction Budget'!D23*B6+'Construction Budget'!D36*C6)*'Assumptions'!D50*D6*('Assumptions'!D27/12)*'Assumptions'!D52)+(('Construction Budget'!D6+'Construction Budget'!D7+'Construction Budget'!D23*B6+'Construction Budget'!D36*C6)*'Assumptions'!D50*'Assumptions'!D53)</x:f>
        <x:v>54044221.875</x:v>
      </x:c>
      <x:c r="F6" s="128" t="n">
        <x:f>('Construction Budget'!E6+'Construction Budget'!E7+'Construction Budget'!E23*B6+'Construction Budget'!E36*C6)+(('Construction Budget'!E6+'Construction Budget'!E7+'Construction Budget'!E23*B6+'Construction Budget'!E36*C6)*'Assumptions'!E50*D6*('Assumptions'!E27/12)*'Assumptions'!E52)+(('Construction Budget'!E6+'Construction Budget'!E7+'Construction Budget'!E23*B6+'Construction Budget'!E36*C6)*'Assumptions'!E50*'Assumptions'!E53)</x:f>
        <x:v>68854785.1875</x:v>
      </x:c>
      <x:c r="G6" s="128" t="n">
        <x:f>E6-E7</x:f>
        <x:v>-5494653.125</x:v>
      </x:c>
      <x:c r="H6" s="128" t="n">
        <x:f>F6-F7</x:f>
        <x:v>-7333645.3125</x:v>
      </x:c>
    </x:row>
    <x:row r="7">
      <x:c r="A7" t="str">
        <x:v>Base</x:v>
      </x:c>
      <x:c r="B7" s="50" t="n">
        <x:v>1</x:v>
      </x:c>
      <x:c r="C7" s="50" t="n">
        <x:v>1</x:v>
      </x:c>
      <x:c r="D7" s="50" t="n">
        <x:v>0.08</x:v>
      </x:c>
      <x:c r="E7" s="128" t="n">
        <x:f>('Construction Budget'!D6+'Construction Budget'!D7+'Construction Budget'!D23*B7+'Construction Budget'!D36*C7)+(('Construction Budget'!D6+'Construction Budget'!D7+'Construction Budget'!D23*B7+'Construction Budget'!D36*C7)*'Assumptions'!D50*D7*('Assumptions'!D27/12)*'Assumptions'!D52)+(('Construction Budget'!D6+'Construction Budget'!D7+'Construction Budget'!D23*B7+'Construction Budget'!D36*C7)*'Assumptions'!D50*'Assumptions'!D53)</x:f>
        <x:v>59538875</x:v>
      </x:c>
      <x:c r="F7" s="128" t="n">
        <x:f>('Construction Budget'!E6+'Construction Budget'!E7+'Construction Budget'!E23*B7+'Construction Budget'!E36*C7)+(('Construction Budget'!E6+'Construction Budget'!E7+'Construction Budget'!E23*B7+'Construction Budget'!E36*C7)*'Assumptions'!E50*D7*('Assumptions'!E27/12)*'Assumptions'!E52)+(('Construction Budget'!E6+'Construction Budget'!E7+'Construction Budget'!E23*B7+'Construction Budget'!E36*C7)*'Assumptions'!E50*'Assumptions'!E53)</x:f>
        <x:v>76188430.5</x:v>
      </x:c>
      <x:c r="G7" s="128" t="n">
        <x:f>E7-E7</x:f>
        <x:v>0</x:v>
      </x:c>
      <x:c r="H7" s="128" t="n">
        <x:f>F7-F7</x:f>
        <x:v>0</x:v>
      </x:c>
    </x:row>
    <x:row r="8">
      <x:c r="A8" t="str">
        <x:v>High</x:v>
      </x:c>
      <x:c r="B8" s="50" t="n">
        <x:v>1.12</x:v>
      </x:c>
      <x:c r="C8" s="50" t="n">
        <x:v>1.15</x:v>
      </x:c>
      <x:c r="D8" s="50" t="n">
        <x:v>0.095</x:v>
      </x:c>
      <x:c r="E8" s="128" t="n">
        <x:f>('Construction Budget'!D6+'Construction Budget'!D7+'Construction Budget'!D23*B8+'Construction Budget'!D36*C8)+(('Construction Budget'!D6+'Construction Budget'!D7+'Construction Budget'!D23*B8+'Construction Budget'!D36*C8)*'Assumptions'!D50*D8*('Assumptions'!D27/12)*'Assumptions'!D52)+(('Construction Budget'!D6+'Construction Budget'!D7+'Construction Budget'!D23*B8+'Construction Budget'!D36*C8)*'Assumptions'!D50*'Assumptions'!D53)</x:f>
        <x:v>66694526.206250004</x:v>
      </x:c>
      <x:c r="F8" s="128" t="n">
        <x:f>('Construction Budget'!E6+'Construction Budget'!E7+'Construction Budget'!E23*B8+'Construction Budget'!E36*C8)+(('Construction Budget'!E6+'Construction Budget'!E7+'Construction Budget'!E23*B8+'Construction Budget'!E36*C8)*'Assumptions'!E50*D8*('Assumptions'!E27/12)*'Assumptions'!E52)+(('Construction Budget'!E6+'Construction Budget'!E7+'Construction Budget'!E23*B8+'Construction Budget'!E36*C8)*'Assumptions'!E50*'Assumptions'!E53)</x:f>
        <x:v>85769581.655625</x:v>
      </x:c>
      <x:c r="G8" s="128" t="n">
        <x:f>E8-E7</x:f>
        <x:v>7155651.2062500045</x:v>
      </x:c>
      <x:c r="H8" s="128" t="n">
        <x:f>F8-F7</x:f>
        <x:v>9581151.155625</x:v>
      </x:c>
    </x:row>
    <x:row r="11" ht="20" customHeight="1">
      <x:c r="A11" s="33" t="str">
        <x:v>LAND OFFER SENSITIVITY — CORE &amp; SHELL</x:v>
      </x:c>
      <x:c r="B11" s="33"/>
      <x:c r="C11" s="33"/>
      <x:c r="D11" s="33"/>
      <x:c r="E11" s="33"/>
      <x:c r="F11" s="33"/>
      <x:c r="G11" s="33"/>
      <x:c r="H11" s="33"/>
    </x:row>
    <x:row r="12" ht="22" customHeight="1">
      <x:c r="A12" s="24" t="str">
        <x:v>Land Offer</x:v>
      </x:c>
      <x:c r="B12" s="24" t="str">
        <x:v>6-Story All-In</x:v>
      </x:c>
      <x:c r="C12" s="24" t="str">
        <x:v>8-Story All-In</x:v>
      </x:c>
      <x:c r="D12" s="24" t="str">
        <x:v>6-Story Land %</x:v>
      </x:c>
      <x:c r="E12" s="24" t="str">
        <x:v>8-Story Land %</x:v>
      </x:c>
      <x:c r="F12" s="24" t="str">
        <x:v>Comment</x:v>
      </x:c>
    </x:row>
    <x:row r="13">
      <x:c r="A13" s="46" t="n">
        <x:v>8000000</x:v>
      </x:c>
      <x:c r="B13" s="124" t="n">
        <x:f>'Construction Budget'!D56+(A13-'Assumptions'!D7)*(1+'Assumptions'!D8)+((A13-'Assumptions'!D7)*(1+'Assumptions'!D8)*'Assumptions'!D50*'Assumptions'!D51*('Assumptions'!D27/12)*'Assumptions'!D52)+((A13-'Assumptions'!D7)*(1+'Assumptions'!D8)*'Assumptions'!D50*'Assumptions'!D53)</x:f>
        <x:v>59538875</x:v>
      </x:c>
      <x:c r="C13" s="124" t="n">
        <x:f>'Construction Budget'!E56+(A13-'Assumptions'!E7)*(1+'Assumptions'!E8)+((A13-'Assumptions'!E7)*(1+'Assumptions'!E8)*'Assumptions'!E50*'Assumptions'!E51*('Assumptions'!E27/12)*'Assumptions'!E52)+((A13-'Assumptions'!E7)*(1+'Assumptions'!E8)*'Assumptions'!E50*'Assumptions'!E53)</x:f>
        <x:v>76188430.5</x:v>
      </x:c>
      <x:c r="D13" s="152" t="n">
        <x:f>A13/B13</x:f>
        <x:v>0.13436599196743304</x:v>
      </x:c>
      <x:c r="E13" s="152" t="n">
        <x:f>A13/C13</x:f>
        <x:v>0.10500281929288463</x:v>
      </x:c>
      <x:c r="F13" s="42" t="str">
        <x:v>Base opening offer</x:v>
      </x:c>
    </x:row>
    <x:row r="14">
      <x:c r="A14" s="46" t="n">
        <x:v>8750000</x:v>
      </x:c>
      <x:c r="B14" s="124" t="n">
        <x:f>'Construction Budget'!D56+(A14-'Assumptions'!D7)*(1+'Assumptions'!D8)+((A14-'Assumptions'!D7)*(1+'Assumptions'!D8)*'Assumptions'!D50*'Assumptions'!D51*('Assumptions'!D27/12)*'Assumptions'!D52)+((A14-'Assumptions'!D7)*(1+'Assumptions'!D8)*'Assumptions'!D50*'Assumptions'!D53)</x:f>
        <x:v>60361250</x:v>
      </x:c>
      <x:c r="C14" s="124" t="n">
        <x:f>'Construction Budget'!E56+(A14-'Assumptions'!E7)*(1+'Assumptions'!E8)+((A14-'Assumptions'!E7)*(1+'Assumptions'!E8)*'Assumptions'!E50*'Assumptions'!E51*('Assumptions'!E27/12)*'Assumptions'!E52)+((A14-'Assumptions'!E7)*(1+'Assumptions'!E8)*'Assumptions'!E50*'Assumptions'!E53)</x:f>
        <x:v>77017537.5</x:v>
      </x:c>
      <x:c r="D14" s="152" t="n">
        <x:f>A14/B14</x:f>
        <x:v>0.14496055002174407</x:v>
      </x:c>
      <x:c r="E14" s="152" t="n">
        <x:f>A14/C14</x:f>
        <x:v>0.11361048774118492</x:v>
      </x:c>
      <x:c r="F14" s="42" t="str">
        <x:v>Realistic negotiation ceiling</x:v>
      </x:c>
    </x:row>
    <x:row r="15">
      <x:c r="A15" s="46" t="n">
        <x:v>9500000</x:v>
      </x:c>
      <x:c r="B15" s="124" t="n">
        <x:f>'Construction Budget'!D56+(A15-'Assumptions'!D7)*(1+'Assumptions'!D8)+((A15-'Assumptions'!D7)*(1+'Assumptions'!D8)*'Assumptions'!D50*'Assumptions'!D51*('Assumptions'!D27/12)*'Assumptions'!D52)+((A15-'Assumptions'!D7)*(1+'Assumptions'!D8)*'Assumptions'!D50*'Assumptions'!D53)</x:f>
        <x:v>61183625</x:v>
      </x:c>
      <x:c r="C15" s="124" t="n">
        <x:f>'Construction Budget'!E56+(A15-'Assumptions'!E7)*(1+'Assumptions'!E8)+((A15-'Assumptions'!E7)*(1+'Assumptions'!E8)*'Assumptions'!E50*'Assumptions'!E51*('Assumptions'!E27/12)*'Assumptions'!E52)+((A15-'Assumptions'!E7)*(1+'Assumptions'!E8)*'Assumptions'!E50*'Assumptions'!E53)</x:f>
        <x:v>77846644.5</x:v>
      </x:c>
      <x:c r="D15" s="152" t="n">
        <x:f>A15/B15</x:f>
        <x:v>0.15527030312440623</x:v>
      </x:c>
      <x:c r="E15" s="152" t="n">
        <x:f>A15/C15</x:f>
        <x:v>0.12203480395356026</x:v>
      </x:c>
      <x:c r="F15" s="42" t="str">
        <x:v>Upper stress case</x:v>
      </x:c>
    </x:row>
    <x:row r="18" ht="20" customHeight="1">
      <x:c r="A18" s="33" t="str">
        <x:v>OFFICE / PARKING MIX CHECK</x:v>
      </x:c>
      <x:c r="B18" s="33"/>
      <x:c r="C18" s="33"/>
      <x:c r="D18" s="33"/>
      <x:c r="E18" s="33"/>
      <x:c r="F18" s="33"/>
      <x:c r="G18" s="33"/>
      <x:c r="H18" s="33"/>
    </x:row>
    <x:row r="19" ht="22" customHeight="1">
      <x:c r="A19" s="24" t="str">
        <x:v>Scenario</x:v>
      </x:c>
      <x:c r="B19" s="24" t="str">
        <x:v>Office Floors</x:v>
      </x:c>
      <x:c r="C19" s="24" t="str">
        <x:v>Parking Floors</x:v>
      </x:c>
      <x:c r="D19" s="24" t="str">
        <x:v>Office RSF</x:v>
      </x:c>
      <x:c r="E19" s="24" t="str">
        <x:v>Stalls</x:v>
      </x:c>
      <x:c r="F19" s="24" t="str">
        <x:v>Parking Ratio</x:v>
      </x:c>
      <x:c r="G19" s="24" t="str">
        <x:v>Program Read</x:v>
      </x:c>
      <x:c r="H19" s="24" t="str">
        <x:v>Recommendation</x:v>
      </x:c>
    </x:row>
    <x:row r="20">
      <x:c r="A20" t="str">
        <x:v>6-story balanced</x:v>
      </x:c>
      <x:c r="B20" s="40" t="n">
        <x:v>2</x:v>
      </x:c>
      <x:c r="C20" s="40" t="n">
        <x:v>3</x:v>
      </x:c>
      <x:c r="D20" s="88" t="n">
        <x:f>B20*'Assumptions'!D11*'Assumptions'!D13</x:f>
        <x:v>40800</x:v>
      </x:c>
      <x:c r="E20" s="88" t="n">
        <x:f>ROUNDDOWN('Assumptions'!D10/'Assumptions'!D12,0)*C20</x:f>
        <x:v>231</x:v>
      </x:c>
      <x:c r="F20" s="90" t="n">
        <x:f>E20/(D20+'Assumptions'!D14)*1000</x:f>
        <x:v>4.547244094488189</x:v>
      </x:c>
      <x:c r="G20" s="42" t="str">
        <x:f>IF(F20&gt;=4,"Medical-parking balanced",IF(F20&gt;=3,"Possible with shared / reduced parking","Office-heavy; parking constraint"))</x:f>
        <x:v>Medical-parking balanced</x:v>
      </x:c>
      <x:c r="H20" s="42" t="str">
        <x:v>Preferred 6-story</x:v>
      </x:c>
    </x:row>
    <x:row r="21">
      <x:c r="A21" t="str">
        <x:v>6-story office-heavy</x:v>
      </x:c>
      <x:c r="B21" s="40" t="n">
        <x:v>3</x:v>
      </x:c>
      <x:c r="C21" s="40" t="n">
        <x:v>2</x:v>
      </x:c>
      <x:c r="D21" s="88" t="n">
        <x:f>B21*'Assumptions'!D11*'Assumptions'!D13</x:f>
        <x:v>61200</x:v>
      </x:c>
      <x:c r="E21" s="88" t="n">
        <x:f>ROUNDDOWN('Assumptions'!D10/'Assumptions'!D12,0)*C21</x:f>
        <x:v>154</x:v>
      </x:c>
      <x:c r="F21" s="90" t="n">
        <x:f>E21/(D21+'Assumptions'!D14)*1000</x:f>
        <x:v>2.162921348314607</x:v>
      </x:c>
      <x:c r="G21" s="42" t="str">
        <x:f>IF(F21&gt;=4,"Medical-parking balanced",IF(F21&gt;=3,"Possible with shared / reduced parking","Office-heavy; parking constraint"))</x:f>
        <x:v>Office-heavy; parking constraint</x:v>
      </x:c>
      <x:c r="H21" s="42" t="str">
        <x:v>Alternate only</x:v>
      </x:c>
    </x:row>
    <x:row r="22">
      <x:c r="A22" t="str">
        <x:v>8-story parking-heavy</x:v>
      </x:c>
      <x:c r="B22" s="40" t="n">
        <x:v>2</x:v>
      </x:c>
      <x:c r="C22" s="40" t="n">
        <x:v>5</x:v>
      </x:c>
      <x:c r="D22" s="88" t="n">
        <x:f>B22*'Assumptions'!D11*'Assumptions'!D13</x:f>
        <x:v>40800</x:v>
      </x:c>
      <x:c r="E22" s="88" t="n">
        <x:f>ROUNDDOWN('Assumptions'!D10/'Assumptions'!D12,0)*C22</x:f>
        <x:v>385</x:v>
      </x:c>
      <x:c r="F22" s="90" t="n">
        <x:f>E22/(D22+'Assumptions'!D14)*1000</x:f>
        <x:v>7.578740157480315</x:v>
      </x:c>
      <x:c r="G22" s="42" t="str">
        <x:f>IF(F22&gt;=4,"Medical-parking balanced",IF(F22&gt;=3,"Possible with shared / reduced parking","Office-heavy; parking constraint"))</x:f>
        <x:v>Medical-parking balanced</x:v>
      </x:c>
      <x:c r="H22" s="42" t="str">
        <x:v>Alternate only</x:v>
      </x:c>
    </x:row>
    <x:row r="23">
      <x:c r="A23" t="str">
        <x:v>8-story balanced</x:v>
      </x:c>
      <x:c r="B23" s="40" t="n">
        <x:v>3</x:v>
      </x:c>
      <x:c r="C23" s="40" t="n">
        <x:v>4</x:v>
      </x:c>
      <x:c r="D23" s="88" t="n">
        <x:f>B23*'Assumptions'!D11*'Assumptions'!D13</x:f>
        <x:v>61200</x:v>
      </x:c>
      <x:c r="E23" s="88" t="n">
        <x:f>ROUNDDOWN('Assumptions'!D10/'Assumptions'!D12,0)*C23</x:f>
        <x:v>308</x:v>
      </x:c>
      <x:c r="F23" s="90" t="n">
        <x:f>E23/(D23+'Assumptions'!D14)*1000</x:f>
        <x:v>4.325842696629214</x:v>
      </x:c>
      <x:c r="G23" s="42" t="str">
        <x:f>IF(F23&gt;=4,"Medical-parking balanced",IF(F23&gt;=3,"Possible with shared / reduced parking","Office-heavy; parking constraint"))</x:f>
        <x:v>Medical-parking balanced</x:v>
      </x:c>
      <x:c r="H23" s="42" t="str">
        <x:v>Preferred 8-story</x:v>
      </x:c>
    </x:row>
    <x:row r="24">
      <x:c r="A24" t="str">
        <x:v>8-story office-heavy</x:v>
      </x:c>
      <x:c r="B24" s="40" t="n">
        <x:v>4</x:v>
      </x:c>
      <x:c r="C24" s="40" t="n">
        <x:v>3</x:v>
      </x:c>
      <x:c r="D24" s="88" t="n">
        <x:f>B24*'Assumptions'!D11*'Assumptions'!D13</x:f>
        <x:v>81600</x:v>
      </x:c>
      <x:c r="E24" s="88" t="n">
        <x:f>ROUNDDOWN('Assumptions'!D10/'Assumptions'!D12,0)*C24</x:f>
        <x:v>231</x:v>
      </x:c>
      <x:c r="F24" s="90" t="n">
        <x:f>E24/(D24+'Assumptions'!D14)*1000</x:f>
        <x:v>2.521834061135371</x:v>
      </x:c>
      <x:c r="G24" s="42" t="str">
        <x:f>IF(F24&gt;=4,"Medical-parking balanced",IF(F24&gt;=3,"Possible with shared / reduced parking","Office-heavy; parking constraint"))</x:f>
        <x:v>Office-heavy; parking constraint</x:v>
      </x:c>
      <x:c r="H24" s="42" t="str">
        <x:v>Alternate only</x:v>
      </x:c>
    </x:row>
  </x:sheetData>
  <x:mergeCells>
    <x:mergeCell ref="A1:H1"/>
    <x:mergeCell ref="A2:H2"/>
    <x:mergeCell ref="A4:H4"/>
    <x:mergeCell ref="A11:H11"/>
    <x:mergeCell ref="A18:H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48" hidden="0" customWidth="1"/>
    <x:col min="4" max="4" width="48" hidden="0" customWidth="1"/>
  </x:cols>
  <x:sheetData>
    <x:row r="1" ht="28" customHeight="1">
      <x:c r="A1" s="5" t="str">
        <x:v>SOURCE REGISTER AND VALIDATION STATUS</x:v>
      </x:c>
      <x:c r="B1" s="5"/>
      <x:c r="C1" s="5"/>
      <x:c r="D1" s="5"/>
    </x:row>
    <x:row r="2" ht="30" customHeight="1">
      <x:c r="A2" s="14" t="str">
        <x:v>Model inputs are planning estimates. Project-file facts are separated from current web benchmarks and analyst assumptions.</x:v>
      </x:c>
      <x:c r="B2" s="14"/>
      <x:c r="C2" s="14"/>
      <x:c r="D2" s="14"/>
    </x:row>
    <x:row r="4" ht="22" customHeight="1">
      <x:c r="A4" s="24" t="str">
        <x:v>Source</x:v>
      </x:c>
      <x:c r="B4" s="24" t="str">
        <x:v>URL / File</x:v>
      </x:c>
      <x:c r="C4" s="24" t="str">
        <x:v>Used For</x:v>
      </x:c>
      <x:c r="D4" s="24" t="str">
        <x:v>Status / Caveat</x:v>
      </x:c>
    </x:row>
    <x:row r="5">
      <x:c r="A5" s="42" t="str">
        <x:v>AEI Appraisal — Agora Mediterranean Market (Sep. 2025)</x:v>
      </x:c>
      <x:c r="B5" s="238" t="str">
        <x:v>Project file: Andrew’s Appraisal.pdf</x:v>
      </x:c>
      <x:c r="C5" s="42" t="str">
        <x:v>38,207 SF site, $11.1M appraisal, FEMA AE, redevelopment highest and best use.</x:v>
      </x:c>
      <x:c r="D5" s="42" t="str">
        <x:v>Verified project document; appraisal is not a construction estimate.</x:v>
      </x:c>
    </x:row>
    <x:row r="6">
      <x:c r="A6" s="240" t="str">
        <x:v>Native Realty Development Feasibility &amp; Massing Study (Jun. 2026)</x:v>
      </x:c>
      <x:c r="B6" s="241" t="str">
        <x:v>Project file: NativeRealty_905 S Andrews - Development Feasibility &amp; Massing Study.pdf</x:v>
      </x:c>
      <x:c r="C6" s="240" t="str">
        <x:v>28,000 SF parking plate, ~24,000 SF office cap, 340 SF/stall preliminary efficiency, $8M offer strategy, separate access concept.</x:v>
      </x:c>
      <x:c r="D6" s="240" t="str">
        <x:v>Preliminary buyer-side study; architect / City must verify.</x:v>
      </x:c>
    </x:row>
    <x:row r="7">
      <x:c r="A7" s="42" t="str">
        <x:v>Institutional Development Prospectus Vol. 0</x:v>
      </x:c>
      <x:c r="B7" s="238" t="str">
        <x:v>Project file: Institutional Development Prospectus Vol0.docx</x:v>
      </x:c>
      <x:c r="C7" s="42" t="str">
        <x:v>Healthcare-first program, convertible parking, med-tail, mobility optionality, rooftop amenity.</x:v>
      </x:c>
      <x:c r="D7" s="42" t="str">
        <x:v>Pre-schematic; program areas intentionally TBD.</x:v>
      </x:c>
    </x:row>
    <x:row r="8">
      <x:c r="A8" s="240" t="str">
        <x:v>South Andrews Electrical Load Model</x:v>
      </x:c>
      <x:c r="B8" s="241" t="str">
        <x:v>Project file: South_Andrews_Electrical_Load_Model.xlsx</x:v>
      </x:c>
      <x:c r="C8" s="240" t="str">
        <x:v>40-port managed EV peak, solar production factor, planning load framework.</x:v>
      </x:c>
      <x:c r="D8" s="240" t="str">
        <x:v>Not an engineered load letter.</x:v>
      </x:c>
    </x:row>
    <x:row r="9">
      <x:c r="A9" s="42" t="str">
        <x:v>WGI 2026 Parking Structure Cost Outlook</x:v>
      </x:c>
      <x:c r="B9" s="238" t="str">
        <x:v>https://publications.wginc.com/parking-cost-outlook-for-2026</x:v>
      </x:c>
      <x:c r="C9" s="42" t="str">
        <x:v>National median $33,300/space and $98.75/SF; model uses $115/SF South Florida mixed-use premium.</x:v>
      </x:c>
      <x:c r="D9" s="42" t="str">
        <x:v>Benchmark only; obtain local GC / precast / cast-in-place bids.</x:v>
      </x:c>
    </x:row>
    <x:row r="10">
      <x:c r="A10" s="240" t="str">
        <x:v>U.S. DOE Alternative Fuels Data Center — EV infrastructure</x:v>
      </x:c>
      <x:c r="B10" s="241" t="str">
        <x:v>https://afdc.energy.gov/fuels/electricity-infrastructure-development</x:v>
      </x:c>
      <x:c r="C10" s="240" t="str">
        <x:v>Level 2 equipment and installation benchmark; managed/networked charging planning.</x:v>
      </x:c>
      <x:c r="D10" s="240" t="str">
        <x:v>Utility upgrades can dominate cost.</x:v>
      </x:c>
    </x:row>
    <x:row r="11">
      <x:c r="A11" s="42" t="str">
        <x:v>NLR Solar Installed System Cost Analysis</x:v>
      </x:c>
      <x:c r="B11" s="238" t="str">
        <x:v>https://www.nlr.gov/solar/market-research-analysis/solar-installed-system-cost</x:v>
      </x:c>
      <x:c r="C11" s="42" t="str">
        <x:v>Commercial PV cost methodology and source framework.</x:v>
      </x:c>
      <x:c r="D11" s="42" t="str">
        <x:v>Use vendor proposals and final roof layout.</x:v>
      </x:c>
    </x:row>
    <x:row r="12">
      <x:c r="A12" s="240" t="str">
        <x:v>IRS — Alternative Fuel Vehicle Refueling Property Credit</x:v>
      </x:c>
      <x:c r="B12" s="241" t="str">
        <x:v>https://www.irs.gov/credits-deductions/alternative-fuel-vehicle-refueling-property-credit</x:v>
      </x:c>
      <x:c r="C12" s="240" t="str">
        <x:v>No 30C credit underwritten because placed-in-service deadline is June 30, 2026.</x:v>
      </x:c>
      <x:c r="D12" s="240" t="str">
        <x:v>Tax counsel must confirm; project likely too late.</x:v>
      </x:c>
    </x:row>
    <x:row r="13">
      <x:c r="A13" s="42" t="str">
        <x:v>IRS — Clean Electricity Investment Credit</x:v>
      </x:c>
      <x:c r="B13" s="238" t="str">
        <x:v>https://www.irs.gov/credits-deductions/clean-electricity-investment-credit</x:v>
      </x:c>
      <x:c r="C13" s="42" t="str">
        <x:v>Solar / storage credit framework.</x:v>
      </x:c>
      <x:c r="D13" s="42" t="str">
        <x:v>Eligibility changed under 2025 law; no credit underwritten.</x:v>
      </x:c>
    </x:row>
    <x:row r="14">
      <x:c r="A14" s="240" t="str">
        <x:v>Waymo — Florida launch</x:v>
      </x:c>
      <x:c r="B14" s="241" t="str">
        <x:v>https://waymo.com/blog/2026/04/floridas-new-way-to-ride/</x:v>
      </x:c>
      <x:c r="C14" s="240" t="str">
        <x:v>Confirms active Miami / Orlando operations; supports outreach relevance, not site demand.</x:v>
      </x:c>
      <x:c r="D14" s="240" t="str">
        <x:v>No partnership or Fort Lauderdale commitment assumed.</x:v>
      </x:c>
    </x:row>
    <x:row r="15">
      <x:c r="A15" s="42" t="str">
        <x:v>Zoox — Miami robotaxi</x:v>
      </x:c>
      <x:c r="B15" s="238" t="str">
        <x:v>https://zoox.com/journal/zoox-robotaxi-in-miami</x:v>
      </x:c>
      <x:c r="C15" s="42" t="str">
        <x:v>Confirms Miami testing / deployment relevance.</x:v>
      </x:c>
      <x:c r="D15" s="42" t="str">
        <x:v>No partnership or site demand assumed.</x:v>
      </x:c>
    </x:row>
    <x:row r="16">
      <x:c r="A16" s="240" t="str">
        <x:v>Tesla Robotaxi</x:v>
      </x:c>
      <x:c r="B16" s="241" t="str">
        <x:v>https://www.tesla.com/robotaxi</x:v>
      </x:c>
      <x:c r="C16" s="240" t="str">
        <x:v>Confirms Miami Robotaxi operations.</x:v>
      </x:c>
      <x:c r="D16" s="240" t="str">
        <x:v>No partnership or site demand assumed.</x:v>
      </x:c>
    </x:row>
    <x:row r="17">
      <x:c r="A17" s="42" t="str">
        <x:v>Freebee service areas</x:v>
      </x:c>
      <x:c r="B17" s="238" t="str">
        <x:v>https://ridefreebee.com/service-areas</x:v>
      </x:c>
      <x:c r="C17" s="42" t="str">
        <x:v>Regional electric microtransit operator relevance.</x:v>
      </x:c>
      <x:c r="D17" s="42" t="str">
        <x:v>No partnership or site demand assumed.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</x:cols>
  <x:sheetData>
    <x:row r="1" ht="28" customHeight="1">
      <x:c r="A1" s="5" t="str">
        <x:v>SOUTH ANDREWS HEALTHCARE &amp; MOBILITY HUB — CONSTRUCTION FEASIBILITY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4" t="str">
        <x:v>Updated planning model at an $8.0M starting offer | Balanced 6-story and 8-story stacks | All figures are preliminary.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4" ht="26" customHeight="1">
      <x:c r="A4" s="247" t="str">
        <x:v>RECOMMENDED STACK: 6-STORY = 2 OFFICE FLOORS + 3 PARKING FLOORS | 8-STORY = 3 OFFICE FLOORS + 4 PARKING FLOORS</x:v>
      </x:c>
      <x:c r="B4" s="247"/>
      <x:c r="C4" s="247"/>
      <x:c r="D4" s="247"/>
      <x:c r="E4" s="247"/>
      <x:c r="F4" s="247"/>
      <x:c r="G4" s="247"/>
      <x:c r="H4" s="247"/>
      <x:c r="I4" s="247"/>
      <x:c r="J4" s="247"/>
      <x:c r="K4" s="247"/>
      <x:c r="L4" s="247"/>
    </x:row>
    <x:row r="6" ht="24" customHeight="1">
      <x:c r="A6" s="253" t="str">
        <x:v>6-STORY — LOWER CAPITAL / LOWER REVENUE</x:v>
      </x:c>
      <x:c r="B6" s="253"/>
      <x:c r="C6" s="253"/>
      <x:c r="D6" s="253"/>
      <x:c r="E6" s="253"/>
      <x:c r="F6" s="253"/>
      <x:c r="G6" s="253" t="str">
        <x:v>8-STORY — BETTER PROGRAM EFFICIENCY / HIGHER CAPITAL</x:v>
      </x:c>
      <x:c r="H6" s="253"/>
      <x:c r="I6" s="253"/>
      <x:c r="J6" s="253"/>
      <x:c r="K6" s="253"/>
      <x:c r="L6" s="253"/>
    </x:row>
    <x:row r="7">
      <x:c r="A7" s="264" t="str">
        <x:v>Office / clinical floors</x:v>
      </x:c>
      <x:c r="B7" s="264"/>
      <x:c r="C7" s="264"/>
      <x:c r="D7" s="264"/>
      <x:c r="E7" s="265" t="n">
        <x:f>'Program &amp; Massing'!B6</x:f>
        <x:v>2</x:v>
      </x:c>
      <x:c r="F7" s="265"/>
      <x:c r="G7" s="264" t="str">
        <x:v>Office / clinical floors</x:v>
      </x:c>
      <x:c r="H7" s="264"/>
      <x:c r="I7" s="264"/>
      <x:c r="J7" s="264"/>
      <x:c r="K7" s="265" t="n">
        <x:f>'Program &amp; Massing'!D6</x:f>
        <x:v>3</x:v>
      </x:c>
      <x:c r="L7" s="265"/>
    </x:row>
    <x:row r="8">
      <x:c r="A8" s="256" t="str">
        <x:v>Office / clinical RSF</x:v>
      </x:c>
      <x:c r="B8" s="256"/>
      <x:c r="C8" s="256"/>
      <x:c r="D8" s="256"/>
      <x:c r="E8" s="262" t="n">
        <x:f>'Program &amp; Massing'!B8</x:f>
        <x:v>40800</x:v>
      </x:c>
      <x:c r="F8" s="262"/>
      <x:c r="G8" s="256" t="str">
        <x:v>Office / clinical RSF</x:v>
      </x:c>
      <x:c r="H8" s="256"/>
      <x:c r="I8" s="256"/>
      <x:c r="J8" s="256"/>
      <x:c r="K8" s="262" t="n">
        <x:f>'Program &amp; Massing'!D8</x:f>
        <x:v>61200</x:v>
      </x:c>
      <x:c r="L8" s="262"/>
    </x:row>
    <x:row r="9">
      <x:c r="A9" s="264" t="str">
        <x:v>Parking levels / stalls</x:v>
      </x:c>
      <x:c r="B9" s="264"/>
      <x:c r="C9" s="264"/>
      <x:c r="D9" s="264"/>
      <x:c r="E9" s="265" t="n">
        <x:f>'Program &amp; Massing'!B9</x:f>
        <x:v>3</x:v>
      </x:c>
      <x:c r="F9" s="265"/>
      <x:c r="G9" s="264" t="str">
        <x:v>Parking levels / stalls</x:v>
      </x:c>
      <x:c r="H9" s="264"/>
      <x:c r="I9" s="264"/>
      <x:c r="J9" s="264"/>
      <x:c r="K9" s="265" t="n">
        <x:f>'Program &amp; Massing'!D9</x:f>
        <x:v>4</x:v>
      </x:c>
      <x:c r="L9" s="265"/>
    </x:row>
    <x:row r="10">
      <x:c r="A10" s="256" t="str">
        <x:v>Structured stalls</x:v>
      </x:c>
      <x:c r="B10" s="256"/>
      <x:c r="C10" s="256"/>
      <x:c r="D10" s="256"/>
      <x:c r="E10" s="262" t="n">
        <x:f>'Program &amp; Massing'!B11</x:f>
        <x:v>231</x:v>
      </x:c>
      <x:c r="F10" s="262"/>
      <x:c r="G10" s="256" t="str">
        <x:v>Structured stalls</x:v>
      </x:c>
      <x:c r="H10" s="256"/>
      <x:c r="I10" s="256"/>
      <x:c r="J10" s="256"/>
      <x:c r="K10" s="262" t="n">
        <x:f>'Program &amp; Massing'!D11</x:f>
        <x:v>308</x:v>
      </x:c>
      <x:c r="L10" s="262"/>
    </x:row>
    <x:row r="11">
      <x:c r="A11" s="264" t="str">
        <x:v>Parking ratio / 1,000 RSF</x:v>
      </x:c>
      <x:c r="B11" s="264"/>
      <x:c r="C11" s="264"/>
      <x:c r="D11" s="264"/>
      <x:c r="E11" s="270" t="n">
        <x:f>'Program &amp; Massing'!B12</x:f>
        <x:v>4.547244094488189</x:v>
      </x:c>
      <x:c r="F11" s="270"/>
      <x:c r="G11" s="264" t="str">
        <x:v>Parking ratio / 1,000 RSF</x:v>
      </x:c>
      <x:c r="H11" s="264"/>
      <x:c r="I11" s="264"/>
      <x:c r="J11" s="264"/>
      <x:c r="K11" s="270" t="n">
        <x:f>'Program &amp; Massing'!D12</x:f>
        <x:v>4.325842696629214</x:v>
      </x:c>
      <x:c r="L11" s="270"/>
    </x:row>
    <x:row r="12">
      <x:c r="A12" s="256" t="str">
        <x:v>Installed chargers (40); see Assumptions for total EV-ready capacity</x:v>
      </x:c>
      <x:c r="B12" s="256"/>
      <x:c r="C12" s="256"/>
      <x:c r="D12" s="256"/>
      <x:c r="E12" s="262" t="n">
        <x:f>'Assumptions'!D21</x:f>
        <x:v>40</x:v>
      </x:c>
      <x:c r="F12" s="262"/>
      <x:c r="G12" s="256" t="str">
        <x:v>Installed chargers (40); see Assumptions for total EV-ready capacity</x:v>
      </x:c>
      <x:c r="H12" s="256"/>
      <x:c r="I12" s="256"/>
      <x:c r="J12" s="256"/>
      <x:c r="K12" s="262" t="n">
        <x:f>'Assumptions'!E21</x:f>
        <x:v>40</x:v>
      </x:c>
      <x:c r="L12" s="262"/>
    </x:row>
    <x:row r="13">
      <x:c r="A13" s="264" t="str">
        <x:v>Solar capacity; BESS shown in Energy &amp; Mobility</x:v>
      </x:c>
      <x:c r="B13" s="264"/>
      <x:c r="C13" s="264"/>
      <x:c r="D13" s="264"/>
      <x:c r="E13" s="265" t="n">
        <x:f>'Assumptions'!D23</x:f>
        <x:v>150</x:v>
      </x:c>
      <x:c r="F13" s="265"/>
      <x:c r="G13" s="264" t="str">
        <x:v>Solar capacity; BESS shown in Energy &amp; Mobility</x:v>
      </x:c>
      <x:c r="H13" s="264"/>
      <x:c r="I13" s="264"/>
      <x:c r="J13" s="264"/>
      <x:c r="K13" s="265" t="n">
        <x:f>'Assumptions'!E23</x:f>
        <x:v>200</x:v>
      </x:c>
      <x:c r="L13" s="265"/>
    </x:row>
    <x:row r="14">
      <x:c r="A14" s="256" t="str">
        <x:v>Core hard construction</x:v>
      </x:c>
      <x:c r="B14" s="256"/>
      <x:c r="C14" s="256"/>
      <x:c r="D14" s="256"/>
      <x:c r="E14" s="272" t="n">
        <x:f>'Construction Budget'!D58</x:f>
        <x:v>37780000</x:v>
      </x:c>
      <x:c r="F14" s="272"/>
      <x:c r="G14" s="256" t="str">
        <x:v>Core hard construction</x:v>
      </x:c>
      <x:c r="H14" s="256"/>
      <x:c r="I14" s="256"/>
      <x:c r="J14" s="256"/>
      <x:c r="K14" s="272" t="n">
        <x:f>'Construction Budget'!E58</x:f>
        <x:v>49710000</x:v>
      </x:c>
      <x:c r="L14" s="272"/>
    </x:row>
    <x:row r="15">
      <x:c r="A15" s="264" t="str">
        <x:v>Core all-in incl. land</x:v>
      </x:c>
      <x:c r="B15" s="264"/>
      <x:c r="C15" s="264"/>
      <x:c r="D15" s="264"/>
      <x:c r="E15" s="274" t="n">
        <x:f>'Construction Budget'!D56</x:f>
        <x:v>59538875</x:v>
      </x:c>
      <x:c r="F15" s="274"/>
      <x:c r="G15" s="264" t="str">
        <x:v>Core all-in incl. land</x:v>
      </x:c>
      <x:c r="H15" s="264"/>
      <x:c r="I15" s="264"/>
      <x:c r="J15" s="264"/>
      <x:c r="K15" s="274" t="n">
        <x:f>'Construction Budget'!E56</x:f>
        <x:v>76188430.5</x:v>
      </x:c>
      <x:c r="L15" s="274"/>
    </x:row>
    <x:row r="16">
      <x:c r="A16" s="256" t="str">
        <x:v>Tenant-ready all-in</x:v>
      </x:c>
      <x:c r="B16" s="256"/>
      <x:c r="C16" s="256"/>
      <x:c r="D16" s="256"/>
      <x:c r="E16" s="272" t="n">
        <x:f>'Construction Budget'!D57</x:f>
        <x:v>69464484.375</x:v>
      </x:c>
      <x:c r="F16" s="272"/>
      <x:c r="G16" s="256" t="str">
        <x:v>Tenant-ready all-in</x:v>
      </x:c>
      <x:c r="H16" s="256"/>
      <x:c r="I16" s="256"/>
      <x:c r="J16" s="256"/>
      <x:c r="K16" s="272" t="n">
        <x:f>'Construction Budget'!E57</x:f>
        <x:v>90479010.875</x:v>
      </x:c>
      <x:c r="L16" s="272"/>
    </x:row>
    <x:row r="17">
      <x:c r="A17" s="264" t="str">
        <x:v>Baseline stabilized NOI</x:v>
      </x:c>
      <x:c r="B17" s="264"/>
      <x:c r="C17" s="264"/>
      <x:c r="D17" s="264"/>
      <x:c r="E17" s="274" t="n">
        <x:f>'Financing &amp; Returns'!D17</x:f>
        <x:v>2277951</x:v>
      </x:c>
      <x:c r="F17" s="274"/>
      <x:c r="G17" s="264" t="str">
        <x:v>Baseline stabilized NOI</x:v>
      </x:c>
      <x:c r="H17" s="264"/>
      <x:c r="I17" s="264"/>
      <x:c r="J17" s="264"/>
      <x:c r="K17" s="274" t="n">
        <x:f>'Financing &amp; Returns'!E17</x:f>
        <x:v>3099423</x:v>
      </x:c>
      <x:c r="L17" s="274"/>
    </x:row>
    <x:row r="18">
      <x:c r="A18" s="256" t="str">
        <x:v>Core yield on cost</x:v>
      </x:c>
      <x:c r="B18" s="256"/>
      <x:c r="C18" s="256"/>
      <x:c r="D18" s="256"/>
      <x:c r="E18" s="276" t="n">
        <x:f>'Financing &amp; Returns'!D21</x:f>
        <x:v>0.038259893221025756</x:v>
      </x:c>
      <x:c r="F18" s="276"/>
      <x:c r="G18" s="256" t="str">
        <x:v>Core yield on cost</x:v>
      </x:c>
      <x:c r="H18" s="256"/>
      <x:c r="I18" s="256"/>
      <x:c r="J18" s="256"/>
      <x:c r="K18" s="276" t="n">
        <x:f>'Financing &amp; Returns'!E21</x:f>
        <x:v>0.04068101914765129</x:v>
      </x:c>
      <x:c r="L18" s="276"/>
    </x:row>
    <x:row r="19">
      <x:c r="A19" s="264" t="str">
        <x:v>Annual partner gap — core</x:v>
      </x:c>
      <x:c r="B19" s="264"/>
      <x:c r="C19" s="264"/>
      <x:c r="D19" s="264"/>
      <x:c r="E19" s="274" t="n">
        <x:f>'Financing &amp; Returns'!D25</x:f>
        <x:v>1889770.2500000005</x:v>
      </x:c>
      <x:c r="F19" s="274"/>
      <x:c r="G19" s="264" t="str">
        <x:v>Annual partner gap — core</x:v>
      </x:c>
      <x:c r="H19" s="264"/>
      <x:c r="I19" s="264"/>
      <x:c r="J19" s="264"/>
      <x:c r="K19" s="274" t="n">
        <x:f>'Financing &amp; Returns'!E25</x:f>
        <x:v>2233767.1350000007</x:v>
      </x:c>
      <x:c r="L19" s="274"/>
    </x:row>
    <x:row r="22" ht="20" customHeight="1">
      <x:c r="A22" s="33" t="str">
        <x:v>COST COMPARISON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</x:row>
    <x:row r="23" ht="22" customHeight="1">
      <x:c r="A23" s="24" t="str">
        <x:v>Cost Basis</x:v>
      </x:c>
      <x:c r="B23" s="24" t="str">
        <x:v>6-Story</x:v>
      </x:c>
      <x:c r="C23" s="24" t="str">
        <x:v>8-Story</x:v>
      </x:c>
    </x:row>
    <x:row r="24">
      <x:c r="A24" s="278" t="str">
        <x:v>Core All-In</x:v>
      </x:c>
      <x:c r="B24" s="124" t="n">
        <x:f>'Construction Budget'!D56</x:f>
        <x:v>59538875</x:v>
      </x:c>
      <x:c r="C24" s="124" t="n">
        <x:f>'Construction Budget'!E56</x:f>
        <x:v>76188430.5</x:v>
      </x:c>
    </x:row>
    <x:row r="25">
      <x:c r="A25" s="256" t="str">
        <x:v>Tenant-Ready</x:v>
      </x:c>
      <x:c r="B25" s="279" t="n">
        <x:f>'Construction Budget'!D57</x:f>
        <x:v>69464484.375</x:v>
      </x:c>
      <x:c r="C25" s="279" t="n">
        <x:f>'Construction Budget'!E57</x:f>
        <x:v>90479010.875</x:v>
      </x:c>
    </x:row>
    <x:row r="28" ht="22" customHeight="1">
      <x:c r="A28" s="281" t="str">
        <x:v>MODEL CONCLUSIONS</x:v>
      </x:c>
      <x:c r="B28" s="281"/>
      <x:c r="C28" s="281"/>
      <x:c r="D28" s="281"/>
      <x:c r="E28" s="281"/>
      <x:c r="F28" s="281"/>
      <x:c r="G28" s="281"/>
      <x:c r="H28" s="281"/>
      <x:c r="I28" s="281"/>
      <x:c r="J28" s="281"/>
      <x:c r="K28" s="281"/>
      <x:c r="L28" s="281"/>
    </x:row>
    <x:row r="29" ht="34" customHeight="1">
      <x:c r="A29" s="284" t="str">
        <x:v>1. Physical answer: use 2 office / clinical floors in the 6-story plan and 3 in the 8-story plan. This keeps the structured parking ratio above approximately 4 stalls per 1,000 rentable SF.</x:v>
      </x:c>
      <x:c r="B29" s="284"/>
      <x:c r="C29" s="284"/>
      <x:c r="D29" s="284"/>
      <x:c r="E29" s="284"/>
      <x:c r="F29" s="284"/>
      <x:c r="G29" s="284"/>
      <x:c r="H29" s="284"/>
      <x:c r="I29" s="284"/>
      <x:c r="J29" s="284"/>
      <x:c r="K29" s="284"/>
      <x:c r="L29" s="284"/>
    </x:row>
    <x:row r="30" ht="34" customHeight="1">
      <x:c r="A30" s="288" t="str">
        <x:v>2. Cost answer: the mobility-ready hard construction is approximately the value shown above; the all-in core and tenant-ready totals include land, soft costs and financing.</x:v>
      </x:c>
      <x:c r="B30" s="288"/>
      <x:c r="C30" s="288"/>
      <x:c r="D30" s="288"/>
      <x:c r="E30" s="288"/>
      <x:c r="F30" s="288"/>
      <x:c r="G30" s="288"/>
      <x:c r="H30" s="288"/>
      <x:c r="I30" s="288"/>
      <x:c r="J30" s="288"/>
      <x:c r="K30" s="288"/>
      <x:c r="L30" s="288"/>
    </x:row>
    <x:row r="31" ht="34" customHeight="1">
      <x:c r="A31" s="292" t="str">
        <x:v>3. Design answer: separate AV ingress and egress on secondary street edges, keep South Andrews active, and isolate the secure staging loop before the public parking ramp.</x:v>
      </x:c>
      <x:c r="B31" s="292"/>
      <x:c r="C31" s="292"/>
      <x:c r="D31" s="292"/>
      <x:c r="E31" s="292"/>
      <x:c r="F31" s="292"/>
      <x:c r="G31" s="292"/>
      <x:c r="H31" s="292"/>
      <x:c r="I31" s="292"/>
      <x:c r="J31" s="292"/>
      <x:c r="K31" s="292"/>
      <x:c r="L31" s="292"/>
    </x:row>
    <x:row r="32" ht="34" customHeight="1">
      <x:c r="A32" s="288" t="str">
        <x:v>4. Energy answer: install 40 managed Level 2 ports, rough-in 80–120 total ports, provide DCFC stub-outs only, and use solar + BESS for cost control and resilience—not as the primary source of power.</x:v>
      </x:c>
      <x:c r="B32" s="288"/>
      <x:c r="C32" s="288"/>
      <x:c r="D32" s="288"/>
      <x:c r="E32" s="288"/>
      <x:c r="F32" s="288"/>
      <x:c r="G32" s="288"/>
      <x:c r="H32" s="288"/>
      <x:c r="I32" s="288"/>
      <x:c r="J32" s="288"/>
      <x:c r="K32" s="288"/>
      <x:c r="L32" s="288"/>
    </x:row>
    <x:row r="33" ht="34" customHeight="1">
      <x:c r="A33" s="284" t="str">
        <x:v>5. Investment answer: neither scenario should rely on speculative AV income. A health-system anchor plus an AV / charging master lease, capital contribution, grant or minimum-use guarantee is needed to close the modeled yield gap.</x:v>
      </x:c>
      <x:c r="B33" s="284"/>
      <x:c r="C33" s="284"/>
      <x:c r="D33" s="284"/>
      <x:c r="E33" s="284"/>
      <x:c r="F33" s="284"/>
      <x:c r="G33" s="284"/>
      <x:c r="H33" s="284"/>
      <x:c r="I33" s="284"/>
      <x:c r="J33" s="284"/>
      <x:c r="K33" s="284"/>
      <x:c r="L33" s="284"/>
    </x:row>
    <x:row r="35" ht="24" customHeight="1">
      <x:c r="A35" s="297" t="str">
        <x:v>Preliminary feasibility model only. Not an appraisal, contractor estimate, engineered load letter, tax opinion, lease forecast or financing commitment. All hard-cost assumptions require architect / engineer test-fit and local GC validation; all utility assumptions require FPL review.</x:v>
      </x:c>
      <x:c r="B35" s="297"/>
      <x:c r="C35" s="297"/>
      <x:c r="D35" s="297"/>
      <x:c r="E35" s="297"/>
      <x:c r="F35" s="297"/>
      <x:c r="G35" s="297"/>
      <x:c r="H35" s="297"/>
      <x:c r="I35" s="297"/>
      <x:c r="J35" s="297"/>
      <x:c r="K35" s="297"/>
      <x:c r="L35" s="297"/>
    </x:row>
    <x:row r="36" ht="24" customHeight="1">
      <x:c r="A36" s="297"/>
      <x:c r="B36" s="297"/>
      <x:c r="C36" s="297"/>
      <x:c r="D36" s="297"/>
      <x:c r="E36" s="297"/>
      <x:c r="F36" s="297"/>
      <x:c r="G36" s="297"/>
      <x:c r="H36" s="297"/>
      <x:c r="I36" s="297"/>
      <x:c r="J36" s="297"/>
      <x:c r="K36" s="297"/>
      <x:c r="L36" s="297"/>
    </x:row>
  </x:sheetData>
  <x:mergeCells>
    <x:mergeCell ref="A1:L1"/>
    <x:mergeCell ref="A2:L2"/>
    <x:mergeCell ref="A4:L4"/>
    <x:mergeCell ref="A6:F6"/>
    <x:mergeCell ref="G6:L6"/>
    <x:mergeCell ref="A7:D7"/>
    <x:mergeCell ref="E7:F7"/>
    <x:mergeCell ref="A8:D8"/>
    <x:mergeCell ref="E8:F8"/>
    <x:mergeCell ref="A9:D9"/>
    <x:mergeCell ref="E9:F9"/>
    <x:mergeCell ref="A10:D10"/>
    <x:mergeCell ref="E10:F10"/>
    <x:mergeCell ref="A11:D11"/>
    <x:mergeCell ref="E11:F11"/>
    <x:mergeCell ref="A12:D12"/>
    <x:mergeCell ref="E12:F12"/>
    <x:mergeCell ref="A13:D13"/>
    <x:mergeCell ref="E13:F13"/>
    <x:mergeCell ref="A14:D14"/>
    <x:mergeCell ref="E14:F14"/>
    <x:mergeCell ref="A15:D15"/>
    <x:mergeCell ref="E15:F15"/>
    <x:mergeCell ref="A16:D16"/>
    <x:mergeCell ref="E16:F16"/>
    <x:mergeCell ref="A17:D17"/>
    <x:mergeCell ref="E17:F17"/>
    <x:mergeCell ref="A18:D18"/>
    <x:mergeCell ref="E18:F18"/>
    <x:mergeCell ref="A19:D19"/>
    <x:mergeCell ref="E19:F19"/>
    <x:mergeCell ref="G7:J7"/>
    <x:mergeCell ref="K7:L7"/>
    <x:mergeCell ref="G8:J8"/>
    <x:mergeCell ref="K8:L8"/>
    <x:mergeCell ref="G9:J9"/>
    <x:mergeCell ref="K9:L9"/>
    <x:mergeCell ref="G10:J10"/>
    <x:mergeCell ref="K10:L10"/>
    <x:mergeCell ref="G11:J11"/>
    <x:mergeCell ref="K11:L11"/>
    <x:mergeCell ref="G12:J12"/>
    <x:mergeCell ref="K12:L12"/>
    <x:mergeCell ref="G13:J13"/>
    <x:mergeCell ref="K13:L13"/>
    <x:mergeCell ref="G14:J14"/>
    <x:mergeCell ref="K14:L14"/>
    <x:mergeCell ref="G15:J15"/>
    <x:mergeCell ref="K15:L15"/>
    <x:mergeCell ref="G16:J16"/>
    <x:mergeCell ref="K16:L16"/>
    <x:mergeCell ref="G17:J17"/>
    <x:mergeCell ref="K17:L17"/>
    <x:mergeCell ref="G18:J18"/>
    <x:mergeCell ref="K18:L18"/>
    <x:mergeCell ref="G19:J19"/>
    <x:mergeCell ref="K19:L19"/>
    <x:mergeCell ref="A22:L22"/>
    <x:mergeCell ref="A28:L28"/>
    <x:mergeCell ref="A29:L29"/>
    <x:mergeCell ref="A30:L30"/>
    <x:mergeCell ref="A31:L31"/>
    <x:mergeCell ref="A32:L32"/>
    <x:mergeCell ref="A33:L33"/>
    <x:mergeCell ref="A35:L36"/>
  </x:mergeCells>
  <x:pageMargins left="0.7" right="0.7" top="0.75" bottom="0.75" header="0.3" footer="0.3"/>
  <x:drawing xmlns:r="http://schemas.openxmlformats.org/officeDocument/2006/relationships" r:id="Rec69346a81c14938"/>
</x:worksheet>
</file>