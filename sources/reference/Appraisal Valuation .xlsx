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C Tear Sheet" sheetId="2" state="visible" r:id="rId4"/>
    <sheet name="Feasibility Dashboard" sheetId="3" state="visible" r:id="rId5"/>
    <sheet name="Assumptions" sheetId="4" state="visible" r:id="rId6"/>
    <sheet name="Source Document Register" sheetId="5" state="visible" r:id="rId7"/>
    <sheet name="Evidence Map" sheetId="6" state="visible" r:id="rId8"/>
    <sheet name="Residual Land Value" sheetId="7" state="visible" r:id="rId9"/>
    <sheet name="Land Value Reality Check" sheetId="8" state="visible" r:id="rId10"/>
    <sheet name="Negotiation Waterfall" sheetId="9" state="visible" r:id="rId11"/>
    <sheet name="Buildable Area" sheetId="10" state="visible" r:id="rId12"/>
    <sheet name="Residual Value Curve" sheetId="11" state="visible" r:id="rId13"/>
    <sheet name="Rate Destruction Map" sheetId="12" state="visible" r:id="rId14"/>
    <sheet name="Constraint Scorecard" sheetId="13" state="visible" r:id="rId15"/>
    <sheet name="Tornado Sensitivity" sheetId="14" state="visible" r:id="rId16"/>
    <sheet name="Mobility Hub Economics" sheetId="15" state="visible" r:id="rId17"/>
  </sheets>
  <definedNames>
    <definedName function="false" hidden="false" localSheetId="1" name="_xlnm.Print_Area" vbProcedure="false">'IC Tear Sheet'!$A$1:$I$52</definedName>
    <definedName function="false" hidden="false" name="a_anc" vbProcedure="false">Assumptions!$F$42</definedName>
    <definedName function="false" hidden="false" name="a_appr" vbProcedure="false">Assumptions!$F$10</definedName>
    <definedName function="false" hidden="false" name="a_cap" vbProcedure="false">Assumptions!$F$29</definedName>
    <definedName function="false" hidden="false" name="a_cont" vbProcedure="false">Assumptions!$F$20</definedName>
    <definedName function="false" hidden="false" name="a_demo" vbProcedure="false">Assumptions!$F$21</definedName>
    <definedName function="false" hidden="false" name="a_eff" vbProcedure="false">Assumptions!$F$14</definedName>
    <definedName function="false" hidden="false" name="a_ev" vbProcedure="false">Assumptions!$F$38</definedName>
    <definedName function="false" hidden="false" name="a_evrev" vbProcedure="false">Assumptions!$F$41</definedName>
    <definedName function="false" hidden="false" name="a_far" vbProcedure="false">Assumptions!$F$13</definedName>
    <definedName function="false" hidden="false" name="a_fleet" vbProcedure="false">Assumptions!$F$37</definedName>
    <definedName function="false" hidden="false" name="a_flood" vbProcedure="false">Assumptions!$F$22</definedName>
    <definedName function="false" hidden="false" name="a_flrev" vbProcedure="false">Assumptions!$F$40</definedName>
    <definedName function="false" hidden="false" name="a_ground" vbProcedure="false">Assumptions!$F$16</definedName>
    <definedName function="false" hidden="false" name="a_hard" vbProcedure="false">Assumptions!$F$18</definedName>
    <definedName function="false" hidden="false" name="a_hubcap" vbProcedure="false">Assumptions!$F$43</definedName>
    <definedName function="false" hidden="false" name="a_hubopex" vbProcedure="false">Assumptions!$F$44</definedName>
    <definedName function="false" hidden="false" name="a_landSF" vbProcedure="false">Assumptions!$F$8</definedName>
    <definedName function="false" hidden="false" name="a_loanmo" vbProcedure="false">Assumptions!$F$33</definedName>
    <definedName function="false" hidden="false" name="a_ltc" vbProcedure="false">Assumptions!$F$31</definedName>
    <definedName function="false" hidden="false" name="a_opex" vbProcedure="false">Assumptions!$F$28</definedName>
    <definedName function="false" hidden="false" name="a_parkc" vbProcedure="false">Assumptions!$F$23</definedName>
    <definedName function="false" hidden="false" name="a_parkratio" vbProcedure="false">Assumptions!$F$46</definedName>
    <definedName function="false" hidden="false" name="a_pkrev" vbProcedure="false">Assumptions!$F$39</definedName>
    <definedName function="false" hidden="false" name="a_profit" vbProcedure="false">Assumptions!$F$34</definedName>
    <definedName function="false" hidden="false" name="a_rate" vbProcedure="false">Assumptions!$F$32</definedName>
    <definedName function="false" hidden="false" name="a_rent" vbProcedure="false">Assumptions!$F$25</definedName>
    <definedName function="false" hidden="false" name="a_retrent" vbProcedure="false">Assumptions!$F$26</definedName>
    <definedName function="false" hidden="false" name="a_soft" vbProcedure="false">Assumptions!$F$19</definedName>
    <definedName function="false" hidden="false" name="a_trans" vbProcedure="false">Assumptions!$F$36</definedName>
    <definedName function="false" hidden="false" name="a_unit" vbProcedure="false">Assumptions!$F$15</definedName>
    <definedName function="false" hidden="false" name="a_vac" vbProcedure="false">Assumptions!$F$27</definedName>
    <definedName function="false" hidden="false" name="r_cint" vbProcedure="false">'Residual Land Value'!$C$23</definedName>
    <definedName function="false" hidden="false" name="r_costxland" vbProcedure="false">'Residual Land Value'!$C$21</definedName>
    <definedName function="false" hidden="false" name="r_cover" vbProcedure="false">'Residual Land Value'!$C$44</definedName>
    <definedName function="false" hidden="false" name="r_demo" vbProcedure="false">'Residual Land Value'!$C$16</definedName>
    <definedName function="false" hidden="false" name="r_flood" vbProcedure="false">'Residual Land Value'!$C$17</definedName>
    <definedName function="false" hidden="false" name="r_gba" vbProcedure="false">'Residual Land Value'!$C$5</definedName>
    <definedName function="false" hidden="false" name="r_hardtot" vbProcedure="false">'Residual Land Value'!$C$18</definedName>
    <definedName function="false" hidden="false" name="r_noi" vbProcedure="false">'Residual Land Value'!$C$31</definedName>
    <definedName function="false" hidden="false" name="r_profitreq" vbProcedure="false">'Residual Land Value'!$C$35</definedName>
    <definedName function="false" hidden="false" name="r_resid" vbProcedure="false">'Residual Land Value'!$C$36</definedName>
    <definedName function="false" hidden="false" name="r_residpsf" vbProcedure="false">'Residual Land Value'!$C$37</definedName>
    <definedName function="false" hidden="false" name="r_stabval" vbProcedure="false">'Residual Land Value'!$C$32</definedName>
    <definedName function="false" hidden="false" name="r_totdev" vbProcedure="false">'Residual Land Value'!$C$24</definedName>
    <definedName function="false" hidden="false" name="r_units" vbProcedure="false">'Residual Land Value'!$C$9</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I4" authorId="0">
      <text>
        <r>
          <rPr>
            <sz val="10"/>
            <rFont val="Arial"/>
            <family val="2"/>
          </rPr>
          <t xml:space="preserve">1=Conservative, 2=Base, 3=Aggressive. Referenced by CHOOSE/INDEX in the ACTIVE column.</t>
        </r>
      </text>
    </comment>
  </commentList>
</comments>
</file>

<file path=xl/sharedStrings.xml><?xml version="1.0" encoding="utf-8"?>
<sst xmlns="http://schemas.openxmlformats.org/spreadsheetml/2006/main" count="519" uniqueCount="435">
  <si>
    <t xml:space="preserve">DEVELOPMENT FEASIBILITY &amp; APPRAISAL REVIEW</t>
  </si>
  <si>
    <t xml:space="preserve">917 South Andrews Avenue  |  Fort Lauderdale, FL 33316</t>
  </si>
  <si>
    <t xml:space="preserve">Institutional Underwriting Workbook &amp; Investment Committee Package</t>
  </si>
  <si>
    <t xml:space="preserve">Prepared for</t>
  </si>
  <si>
    <t xml:space="preserve">Investment Committee / Capital Partners</t>
  </si>
  <si>
    <t xml:space="preserve">Subject</t>
  </si>
  <si>
    <t xml:space="preserve">Agora Mediterranean Market site — Mixed-Use Redevelopment</t>
  </si>
  <si>
    <t xml:space="preserve">Land Area</t>
  </si>
  <si>
    <t xml:space="preserve">38,207 SF  (0.88 acres)</t>
  </si>
  <si>
    <t xml:space="preserve">Zoning</t>
  </si>
  <si>
    <t xml:space="preserve">RAC-RPO (Regional Activity Center — Residential Permitted Overlay)</t>
  </si>
  <si>
    <t xml:space="preserve">Appraised Value (As-Is)</t>
  </si>
  <si>
    <t xml:space="preserve">$11,100,000   ($290.00 / land SF)</t>
  </si>
  <si>
    <t xml:space="preserve">Appraisal Date</t>
  </si>
  <si>
    <t xml:space="preserve">September 25, 2025   (Value date: September 18, 2025)</t>
  </si>
  <si>
    <t xml:space="preserve">Central Question</t>
  </si>
  <si>
    <t xml:space="preserve">Can a rational developer pay $11.1M for this land and still hit acceptable risk-adjusted returns?</t>
  </si>
  <si>
    <t xml:space="preserve">TAB INDEX</t>
  </si>
  <si>
    <t xml:space="preserve">01  Assumptions</t>
  </si>
  <si>
    <t xml:space="preserve">Centralized inputs, scenario toggle (Conservative / Base / Aggressive)</t>
  </si>
  <si>
    <t xml:space="preserve">02  Source Document Register</t>
  </si>
  <si>
    <t xml:space="preserve">Appraisal &amp; survey inputs, dates, preparers, references</t>
  </si>
  <si>
    <t xml:space="preserve">03  Evidence Map</t>
  </si>
  <si>
    <t xml:space="preserve">Every major assumption traced to its source document</t>
  </si>
  <si>
    <t xml:space="preserve">04  Feasibility Dashboard</t>
  </si>
  <si>
    <t xml:space="preserve">One-page executive summary + PROCEED / CAUTION verdict</t>
  </si>
  <si>
    <t xml:space="preserve">05  Residual Land Value</t>
  </si>
  <si>
    <t xml:space="preserve">Cost-stack residual + developer-supported value</t>
  </si>
  <si>
    <t xml:space="preserve">06  Land Value Reality Check</t>
  </si>
  <si>
    <t xml:space="preserve">Appraisal vs developer-supported, variance</t>
  </si>
  <si>
    <t xml:space="preserve">07  Negotiation Waterfall</t>
  </si>
  <si>
    <t xml:space="preserve">$11.1M bridged down to supported value</t>
  </si>
  <si>
    <t xml:space="preserve">08  Residual Value Curve</t>
  </si>
  <si>
    <t xml:space="preserve">Residual land value vs developer profit hurdle</t>
  </si>
  <si>
    <t xml:space="preserve">09  Rate Destruction Map</t>
  </si>
  <si>
    <t xml:space="preserve">Interest rate x construction cost heat map</t>
  </si>
  <si>
    <t xml:space="preserve">10  Buildable Area</t>
  </si>
  <si>
    <t xml:space="preserve">FAR 4.0 / 6.0 / 8.0 program comparison</t>
  </si>
  <si>
    <t xml:space="preserve">11  Site Constraint Scorecard</t>
  </si>
  <si>
    <t xml:space="preserve">Flood / HVHZ / entitlement / insurance / financing risk</t>
  </si>
  <si>
    <t xml:space="preserve">12  Tornado Sensitivity</t>
  </si>
  <si>
    <t xml:space="preserve">Variables ranked by impact on residual value</t>
  </si>
  <si>
    <t xml:space="preserve">13  Mobility Hub Economics</t>
  </si>
  <si>
    <t xml:space="preserve">Parking / fleet / EV / ancillary NOI scenario</t>
  </si>
  <si>
    <t xml:space="preserve">14  IC Tear Sheet</t>
  </si>
  <si>
    <t xml:space="preserve">One-page committee conclusion</t>
  </si>
  <si>
    <t xml:space="preserve">Methodology note: This workbook is a neutral feasibility tool. The recommendation and supported land value are driven entirely by the assumptions on the Assumptions tab and recalculate when those inputs change. No conclusion is hardcoded. Figures sourced outside the appraisal/survey are flagged as Analyst Assumptions (yellow) on the Evidence Map.</t>
  </si>
  <si>
    <t xml:space="preserve">INVESTMENT COMMITTEE TEAR SHEET</t>
  </si>
  <si>
    <t xml:space="preserve">917 S Andrews Avenue, Fort Lauderdale, FL 33316  |  Development Feasibility &amp; Appraisal Review</t>
  </si>
  <si>
    <t xml:space="preserve">EXECUTIVE SUMMARY</t>
  </si>
  <si>
    <t xml:space="preserve">This review tests whether the $11.1M appraised value is supported by forward-looking development economics rather than backward-looking comparable sales. A residual land value is derived from a stabilized multifamily program (RAC-RPO, FAR 6) net of hard/soft costs, HVHZ and flood premiums, demolition, construction financing (average-outstanding-balance method), and a required developer profit. The supported land value is the residual the project can pay while still clearing the profit hurdle — compared directly against the appraisal.</t>
  </si>
  <si>
    <t xml:space="preserve">DEVELOPER FEASIBILITY GAUGE</t>
  </si>
  <si>
    <t xml:space="preserve">KEY OUTPUTS</t>
  </si>
  <si>
    <t xml:space="preserve">Supported land value</t>
  </si>
  <si>
    <t xml:space="preserve">Supported $/land SF</t>
  </si>
  <si>
    <t xml:space="preserve">Appraised value</t>
  </si>
  <si>
    <t xml:space="preserve">Variance to appraisal</t>
  </si>
  <si>
    <t xml:space="preserve">Variance %</t>
  </si>
  <si>
    <t xml:space="preserve">Stabilized value</t>
  </si>
  <si>
    <t xml:space="preserve">NEGOTIATION WATERFALL — APPRAISAL TO SUPPORTED VALUE</t>
  </si>
  <si>
    <t xml:space="preserve">Profit required</t>
  </si>
  <si>
    <t xml:space="preserve">RESIDUAL LAND VALUE vs DEVELOPER PROFIT HURDLE</t>
  </si>
  <si>
    <t xml:space="preserve">RISK SUMMARY</t>
  </si>
  <si>
    <t xml:space="preserve">Flood (AE zone):  High</t>
  </si>
  <si>
    <t xml:space="preserve">HVHZ construction:  High</t>
  </si>
  <si>
    <t xml:space="preserve">Insurance cost:  High</t>
  </si>
  <si>
    <t xml:space="preserve">Financing env.:  High</t>
  </si>
  <si>
    <t xml:space="preserve">Entitlement FAR 6:  Medium</t>
  </si>
  <si>
    <t xml:space="preserve">Parking burden:  Medium</t>
  </si>
  <si>
    <t xml:space="preserve">Absorption / lease-up: Medium   •   Overall risk profile: ELEVATED — multiple high-rated cost &amp; financing constraints compress residual value.</t>
  </si>
  <si>
    <t xml:space="preserve">RECOMMENDATION</t>
  </si>
  <si>
    <t xml:space="preserve">Prepared as an institutional development feasibility review. Figures are model projections under stated assumptions, not guaranteed returns. Analyst Assumptions flagged in source tabs. Not an appraisal or investment advice.</t>
  </si>
  <si>
    <t xml:space="preserve">DEVELOPER FEASIBILITY DASHBOARD</t>
  </si>
  <si>
    <t xml:space="preserve">917 S Andrews Ave — live outputs from Assumptions scenario toggle. Verdict is model-driven, not predetermined.</t>
  </si>
  <si>
    <t xml:space="preserve">ACTIVE SCENARIO:</t>
  </si>
  <si>
    <t xml:space="preserve">PROPERTY</t>
  </si>
  <si>
    <t xml:space="preserve">LOCATION</t>
  </si>
  <si>
    <t xml:space="preserve">KEY METRICS</t>
  </si>
  <si>
    <t xml:space="preserve">[ Property Photo Placeholder ]
917 S Andrews Ave
Fort Lauderdale, FL 33316</t>
  </si>
  <si>
    <t xml:space="preserve">[ Map Placeholder ]
RAC-RPO — Regional Activity Center
Frontage: S Andrews Ave / SW 9th St / SW 10th St
Flood Zone: AE</t>
  </si>
  <si>
    <t xml:space="preserve">Land size (SF)</t>
  </si>
  <si>
    <t xml:space="preserve">Appraised $/SF</t>
  </si>
  <si>
    <t xml:space="preserve">FAR scenario</t>
  </si>
  <si>
    <t xml:space="preserve">Buildable SF (gross)</t>
  </si>
  <si>
    <t xml:space="preserve">Residential units</t>
  </si>
  <si>
    <t xml:space="preserve">DEVELOPER-SUPPORTED LAND VALUE</t>
  </si>
  <si>
    <t xml:space="preserve">Supported / appraised</t>
  </si>
  <si>
    <t xml:space="preserve">Appraised</t>
  </si>
  <si>
    <t xml:space="preserve">Supported</t>
  </si>
  <si>
    <t xml:space="preserve">Variance</t>
  </si>
  <si>
    <t xml:space="preserve">Read: when supported value &lt; appraised value, the appraisal is not fully supported by current development economics under the selected scenario; the gap is the basis for price negotiation. Toggle the scenario on the Assumptions tab to stress the conclusion.</t>
  </si>
  <si>
    <t xml:space="preserve">ASSUMPTIONS  /  CONTROL PANEL</t>
  </si>
  <si>
    <t xml:space="preserve">All model inputs live here. Blue = hardcoded input. Scenario toggle drives the active column via INDEX/MATCH. No conclusion is hardcoded.</t>
  </si>
  <si>
    <t xml:space="preserve">ACTIVE SCENARIO</t>
  </si>
  <si>
    <t xml:space="preserve">Base</t>
  </si>
  <si>
    <t xml:space="preserve">◄ select</t>
  </si>
  <si>
    <t xml:space="preserve">Scenario index</t>
  </si>
  <si>
    <t xml:space="preserve">Input</t>
  </si>
  <si>
    <t xml:space="preserve">Conservative</t>
  </si>
  <si>
    <t xml:space="preserve">Aggressive</t>
  </si>
  <si>
    <t xml:space="preserve">ACTIVE</t>
  </si>
  <si>
    <t xml:space="preserve">Units / Note</t>
  </si>
  <si>
    <t xml:space="preserve">SITE &amp; APPRAISAL (source-fixed)</t>
  </si>
  <si>
    <t xml:space="preserve">Land area (SF)</t>
  </si>
  <si>
    <t xml:space="preserve">Appraisal summary; matches Ibarra survey (901-915 S Andrews).</t>
  </si>
  <si>
    <t xml:space="preserve">Land area (acres)</t>
  </si>
  <si>
    <t xml:space="preserve">Derived</t>
  </si>
  <si>
    <t xml:space="preserve">Appraised value (as-is)</t>
  </si>
  <si>
    <t xml:space="preserve">Appraisal value conclusion, 9/25/2025.</t>
  </si>
  <si>
    <t xml:space="preserve">Appraised value / land SF</t>
  </si>
  <si>
    <t xml:space="preserve">Appraiser concluded $290.00/SF.</t>
  </si>
  <si>
    <t xml:space="preserve">DEVELOPMENT PROGRAM</t>
  </si>
  <si>
    <t xml:space="preserve">FAR (floor area ratio)</t>
  </si>
  <si>
    <t xml:space="preserve">RAC-RPO permits high density w/ bonuses; FAR is entitlement-dependent. Analyst range.</t>
  </si>
  <si>
    <t xml:space="preserve">Efficiency (net rentable / gross)</t>
  </si>
  <si>
    <t xml:space="preserve">Net rentable as % of gross buildable. Analyst assumption.</t>
  </si>
  <si>
    <t xml:space="preserve">Avg unit size (SF)</t>
  </si>
  <si>
    <t xml:space="preserve">Gross SF per residential unit incl. common area. Analyst.</t>
  </si>
  <si>
    <t xml:space="preserve">Ground-floor retail (SF)</t>
  </si>
  <si>
    <t xml:space="preserve">Med-tail / retail liner. Analyst assumption.</t>
  </si>
  <si>
    <t xml:space="preserve">DEVELOPMENT COSTS</t>
  </si>
  <si>
    <t xml:space="preserve">Hard cost ($/gross SF)</t>
  </si>
  <si>
    <t xml:space="preserve">HVHZ (Miami-Dade/Broward high-velocity hurricane zone) construction. Analyst, market-based.</t>
  </si>
  <si>
    <t xml:space="preserve">Soft cost (% of hard)</t>
  </si>
  <si>
    <t xml:space="preserve">A&amp;E, permits, impact fees, legal, dev mgmt. Analyst.</t>
  </si>
  <si>
    <t xml:space="preserve">Contingency (% of hard+soft)</t>
  </si>
  <si>
    <t xml:space="preserve">Analyst assumption.</t>
  </si>
  <si>
    <t xml:space="preserve">Demolition (lump sum)</t>
  </si>
  <si>
    <t xml:space="preserve">3 existing 1-story commercial structures per survey/appraisal. Analyst.</t>
  </si>
  <si>
    <t xml:space="preserve">Flood mitigation / site work</t>
  </si>
  <si>
    <t xml:space="preserve">AE flood zone per appraisal; fill, drainage, elevated podium. Analyst.</t>
  </si>
  <si>
    <t xml:space="preserve">Structured parking ($/space)</t>
  </si>
  <si>
    <t xml:space="preserve">Required structured parking, HVHZ. Analyst.</t>
  </si>
  <si>
    <t xml:space="preserve">REVENUE &amp; EXIT</t>
  </si>
  <si>
    <t xml:space="preserve">Residential rent ($/SF/mo)</t>
  </si>
  <si>
    <t xml:space="preserve">Net rentable residential. Fort Lauderdale RAC submarket. Analyst.</t>
  </si>
  <si>
    <t xml:space="preserve">Retail rent ($/SF/yr NNN)</t>
  </si>
  <si>
    <t xml:space="preserve">Ground-floor med-tail. Analyst.</t>
  </si>
  <si>
    <t xml:space="preserve">Stabilized vacancy + credit loss</t>
  </si>
  <si>
    <t xml:space="preserve">Analyst.</t>
  </si>
  <si>
    <t xml:space="preserve">Operating expense ratio</t>
  </si>
  <si>
    <t xml:space="preserve">% of EGI, multifamily. Analyst.</t>
  </si>
  <si>
    <t xml:space="preserve">Exit cap rate</t>
  </si>
  <si>
    <t xml:space="preserve">Stabilized exit cap. Analyst, current market.</t>
  </si>
  <si>
    <t xml:space="preserve">FINANCING &amp; RETURN HURDLES</t>
  </si>
  <si>
    <t xml:space="preserve">Loan-to-cost</t>
  </si>
  <si>
    <t xml:space="preserve">Construction LTC. Analyst.</t>
  </si>
  <si>
    <t xml:space="preserve">Construction loan rate</t>
  </si>
  <si>
    <t xml:space="preserve">All-in construction rate. Analyst, current market.</t>
  </si>
  <si>
    <t xml:space="preserve">Build + lease-up months</t>
  </si>
  <si>
    <t xml:space="preserve">Months loan outstanding for interest calc. Analyst.</t>
  </si>
  <si>
    <t xml:space="preserve">Developer profit hurdle (on cost)</t>
  </si>
  <si>
    <t xml:space="preserve">Required developer margin on total cost. Drives residual.</t>
  </si>
  <si>
    <t xml:space="preserve">MOBILITY HUB MODULE</t>
  </si>
  <si>
    <t xml:space="preserve">Transient parking spaces</t>
  </si>
  <si>
    <t xml:space="preserve">Per brief.</t>
  </si>
  <si>
    <t xml:space="preserve">Fleet spaces</t>
  </si>
  <si>
    <t xml:space="preserve">EV charging spaces</t>
  </si>
  <si>
    <t xml:space="preserve">Revenue / transient space / mo</t>
  </si>
  <si>
    <t xml:space="preserve">Urban structured parking. Analyst.</t>
  </si>
  <si>
    <t xml:space="preserve">Revenue / fleet space / mo</t>
  </si>
  <si>
    <t xml:space="preserve">RWH fleet ops / rent-to-own staging. Analyst.</t>
  </si>
  <si>
    <t xml:space="preserve">Net revenue / EV port / mo</t>
  </si>
  <si>
    <t xml:space="preserve">DCFC net of energy. Analyst.</t>
  </si>
  <si>
    <t xml:space="preserve">Ancillary svc revenue / yr</t>
  </si>
  <si>
    <t xml:space="preserve">Detailing, med-tail, edge compute lease. Analyst.</t>
  </si>
  <si>
    <t xml:space="preserve">Mobility hub cap rate</t>
  </si>
  <si>
    <t xml:space="preserve">Specialty/parking asset cap. Analyst.</t>
  </si>
  <si>
    <t xml:space="preserve">Hub operating expense ratio</t>
  </si>
  <si>
    <t xml:space="preserve">Parking ratio (spaces / unit)</t>
  </si>
  <si>
    <t xml:space="preserve"> spaces per residential unit (RAC reduced ratio). Analyst assumption.</t>
  </si>
  <si>
    <t xml:space="preserve">SOURCE DOCUMENT REGISTER</t>
  </si>
  <si>
    <t xml:space="preserve">Primary inputs to this underwriting. Each downstream assumption traces back to one of these documents on the Evidence Map.</t>
  </si>
  <si>
    <t xml:space="preserve">Document</t>
  </si>
  <si>
    <t xml:space="preserve">Description</t>
  </si>
  <si>
    <t xml:space="preserve">Date</t>
  </si>
  <si>
    <t xml:space="preserve">Author / Preparer</t>
  </si>
  <si>
    <t xml:space="preserve">Relevant Pages / Exhibits &amp; Assumptions Pulled</t>
  </si>
  <si>
    <t xml:space="preserve">S-1</t>
  </si>
  <si>
    <t xml:space="preserve">Appraisal Report — Agora Mediterranean Market / 917 S Andrews Ave</t>
  </si>
  <si>
    <t xml:space="preserve">Sep 25, 2025</t>
  </si>
  <si>
    <t xml:space="preserve">Appraiser (as-is value date 9/18/2025)</t>
  </si>
  <si>
    <t xml:space="preserve">Value conclusion $11,100,000; $290.00/land SF; land 38,207 SF (0.88 ac); Zoning RAC-RPO; HBU mixed-use redevelopment; AE flood zone; 3 existing 1-story commercial improvements (demolition candidates).</t>
  </si>
  <si>
    <t xml:space="preserve">S-2</t>
  </si>
  <si>
    <t xml:space="preserve">Boundary &amp; Elevation Survey — 901-903-915 S Andrews Ave</t>
  </si>
  <si>
    <t xml:space="preserve">Oct 2, 2015</t>
  </si>
  <si>
    <t xml:space="preserve">John Ibarra &amp; Associates, Inc. (Invoice 15-003948)</t>
  </si>
  <si>
    <t xml:space="preserve">Parcel geometry &amp; frontage on S Andrews Ave, SW 9th St, SW 10th St; building footprints (Bldg 905 + others); parking fields; demolition areas; elevation/flood reference. Used to reconstruct site layout.</t>
  </si>
  <si>
    <t xml:space="preserve">S-3</t>
  </si>
  <si>
    <t xml:space="preserve">Municipal Zoning — City of Fort Lauderdale RAC-RPO</t>
  </si>
  <si>
    <t xml:space="preserve">To confirm</t>
  </si>
  <si>
    <t xml:space="preserve">City of Fort Lauderdale (ULDR)</t>
  </si>
  <si>
    <t xml:space="preserve">FAR / density / height / parking ratio confirmation. Pending municipal verification — values used are Analyst Assumptions until confirmed.</t>
  </si>
  <si>
    <t xml:space="preserve">S-4</t>
  </si>
  <si>
    <t xml:space="preserve">Market data — FL submarket rents, cap rates, construction cost</t>
  </si>
  <si>
    <t xml:space="preserve">2025-2026</t>
  </si>
  <si>
    <t xml:space="preserve">Analyst / broker &amp; cost sources</t>
  </si>
  <si>
    <t xml:space="preserve">Residential &amp; retail rents, exit cap, HVHZ hard-cost PSF, financing terms. Analyst Assumptions, market-benchmarked.</t>
  </si>
  <si>
    <t xml:space="preserve">ADDRESS / PARCEL RECONCILIATION:  The appraisal references 917 S Andrews Ave; the 2015 Ibarra survey covers 901-903-915 S Andrews Ave; project files also cite 901 S Andrews Ave. These are treated as the same assemblage / subject site (38,207 SF) for this underwriting. Confirm legal description and folio(s) with title before any binding offer. Any acreage discrepancy flows directly into $/SF and residual outputs.</t>
  </si>
  <si>
    <t xml:space="preserve">EVIDENCE MAP</t>
  </si>
  <si>
    <t xml:space="preserve">Traceability of every major assumption. Yellow = Analyst Assumption (not directly evidenced by appraisal or survey).</t>
  </si>
  <si>
    <t xml:space="preserve">Assumption</t>
  </si>
  <si>
    <t xml:space="preserve">Value (Base)</t>
  </si>
  <si>
    <t xml:space="preserve">Source Document</t>
  </si>
  <si>
    <t xml:space="preserve">Page / Exhibit</t>
  </si>
  <si>
    <t xml:space="preserve">Notes</t>
  </si>
  <si>
    <t xml:space="preserve">✓</t>
  </si>
  <si>
    <t xml:space="preserve">Land size</t>
  </si>
  <si>
    <t xml:space="preserve">S-1 Appraisal + S-2 Survey</t>
  </si>
  <si>
    <t xml:space="preserve">Summary / Boundary</t>
  </si>
  <si>
    <t xml:space="preserve">Appraisal matches survey assemblage</t>
  </si>
  <si>
    <t xml:space="preserve">S-1 Appraisal</t>
  </si>
  <si>
    <t xml:space="preserve">Value Conclusion</t>
  </si>
  <si>
    <t xml:space="preserve">$290.00/SF land</t>
  </si>
  <si>
    <t xml:space="preserve">Appraiser conclusion</t>
  </si>
  <si>
    <t xml:space="preserve">"RAC-RPO"</t>
  </si>
  <si>
    <t xml:space="preserve">Zoning Section</t>
  </si>
  <si>
    <t xml:space="preserve">Confirm w/ municipal code (S-3)</t>
  </si>
  <si>
    <t xml:space="preserve">Highest &amp; best use</t>
  </si>
  <si>
    <t xml:space="preserve">"Mixed-use redevelopment"</t>
  </si>
  <si>
    <t xml:space="preserve">HBU Section</t>
  </si>
  <si>
    <t xml:space="preserve">Drives program</t>
  </si>
  <si>
    <t xml:space="preserve">Existing buildings</t>
  </si>
  <si>
    <t xml:space="preserve">"3 structures"</t>
  </si>
  <si>
    <t xml:space="preserve">S-1 + S-2</t>
  </si>
  <si>
    <t xml:space="preserve">Improvements / Site Plan</t>
  </si>
  <si>
    <t xml:space="preserve">Demolition candidates</t>
  </si>
  <si>
    <t xml:space="preserve">Frontage</t>
  </si>
  <si>
    <t xml:space="preserve">"Andrews / SW 9th / SW 10th"</t>
  </si>
  <si>
    <t xml:space="preserve">S-2 Survey</t>
  </si>
  <si>
    <t xml:space="preserve">Boundary Survey</t>
  </si>
  <si>
    <t xml:space="preserve">Used for site layout &amp; access</t>
  </si>
  <si>
    <t xml:space="preserve">Flood zone</t>
  </si>
  <si>
    <t xml:space="preserve">"AE"</t>
  </si>
  <si>
    <t xml:space="preserve">Flood / SWOT</t>
  </si>
  <si>
    <t xml:space="preserve">Impacts insurance &amp; site cost</t>
  </si>
  <si>
    <t xml:space="preserve">A</t>
  </si>
  <si>
    <t xml:space="preserve">S-4 Analyst</t>
  </si>
  <si>
    <t xml:space="preserve">—</t>
  </si>
  <si>
    <t xml:space="preserve">Entitlement-dependent; confirm via S-3</t>
  </si>
  <si>
    <t xml:space="preserve">Hard cost $/SF</t>
  </si>
  <si>
    <t xml:space="preserve">HVHZ construction, market-based</t>
  </si>
  <si>
    <t xml:space="preserve">Demolition</t>
  </si>
  <si>
    <t xml:space="preserve">Scaled to 3 structures per S-1/S-2</t>
  </si>
  <si>
    <t xml:space="preserve">Flood mitigation</t>
  </si>
  <si>
    <t xml:space="preserve">Driven by AE zone per S-1</t>
  </si>
  <si>
    <t xml:space="preserve">Residential rent $/SF/mo</t>
  </si>
  <si>
    <t xml:space="preserve">FTL RAC submarket</t>
  </si>
  <si>
    <t xml:space="preserve">Current market</t>
  </si>
  <si>
    <t xml:space="preserve">Developer profit hurdle</t>
  </si>
  <si>
    <t xml:space="preserve">On total cost</t>
  </si>
  <si>
    <t xml:space="preserve">Mobility hub space counts</t>
  </si>
  <si>
    <t xml:space="preserve">"200 / 100 / 50"</t>
  </si>
  <si>
    <t xml:space="preserve">Project brief</t>
  </si>
  <si>
    <t xml:space="preserve">Mobility Hub spec</t>
  </si>
  <si>
    <t xml:space="preserve">Transient/fleet/EV per brief</t>
  </si>
  <si>
    <t xml:space="preserve">Hub revenue / cap rates</t>
  </si>
  <si>
    <t xml:space="preserve">"see Assumptions"</t>
  </si>
  <si>
    <t xml:space="preserve">Specialty asset benchmarks</t>
  </si>
  <si>
    <t xml:space="preserve">Legend:</t>
  </si>
  <si>
    <t xml:space="preserve">✓ Source-evidenced</t>
  </si>
  <si>
    <t xml:space="preserve">A = Analyst Assumption</t>
  </si>
  <si>
    <t xml:space="preserve">RESIDUAL LAND VALUE ENGINE</t>
  </si>
  <si>
    <t xml:space="preserve">Stabilized value less total development cost and required developer profit = land the project can support. Construction interest uses average-outstanding-balance method.</t>
  </si>
  <si>
    <t xml:space="preserve">Gross buildable area (SF)</t>
  </si>
  <si>
    <t xml:space="preserve">Land SF × FAR</t>
  </si>
  <si>
    <t xml:space="preserve">  less ground-floor retail (SF)</t>
  </si>
  <si>
    <t xml:space="preserve">Residential gross area (SF)</t>
  </si>
  <si>
    <t xml:space="preserve">Net rentable residential (SF)</t>
  </si>
  <si>
    <t xml:space="preserve">× efficiency</t>
  </si>
  <si>
    <t xml:space="preserve">Gross res ÷ avg unit size</t>
  </si>
  <si>
    <t xml:space="preserve">Retail net rentable (SF)</t>
  </si>
  <si>
    <t xml:space="preserve">Structured parking spaces (req.)</t>
  </si>
  <si>
    <t xml:space="preserve">1.3 / unit (Analyst, RAC ratio)</t>
  </si>
  <si>
    <t xml:space="preserve">DEVELOPMENT COST STACK</t>
  </si>
  <si>
    <t xml:space="preserve">Hard cost — vertical</t>
  </si>
  <si>
    <t xml:space="preserve">Gross SF × $/SF (HVHZ)</t>
  </si>
  <si>
    <t xml:space="preserve">Hard cost — structured parking</t>
  </si>
  <si>
    <t xml:space="preserve">Spaces × $/space</t>
  </si>
  <si>
    <t xml:space="preserve">3 existing structures</t>
  </si>
  <si>
    <t xml:space="preserve">AE flood zone</t>
  </si>
  <si>
    <t xml:space="preserve">Total hard cost</t>
  </si>
  <si>
    <t xml:space="preserve">Soft cost</t>
  </si>
  <si>
    <t xml:space="preserve">% of hard</t>
  </si>
  <si>
    <t xml:space="preserve">Contingency</t>
  </si>
  <si>
    <t xml:space="preserve">% of hard+soft</t>
  </si>
  <si>
    <t xml:space="preserve">Cost excl. land &amp; financing</t>
  </si>
  <si>
    <t xml:space="preserve">Construction loan (LTC × cost excl land)</t>
  </si>
  <si>
    <t xml:space="preserve">Avoids land circularity</t>
  </si>
  <si>
    <t xml:space="preserve">Construction interest (avg-bal)</t>
  </si>
  <si>
    <t xml:space="preserve">50% avg outstanding balance method</t>
  </si>
  <si>
    <t xml:space="preserve">TOTAL DEVELOPMENT COST (excl land)</t>
  </si>
  <si>
    <t xml:space="preserve">STABILIZED VALUE (INCOME APPROACH)</t>
  </si>
  <si>
    <t xml:space="preserve">Residential gross potential rent</t>
  </si>
  <si>
    <t xml:space="preserve">NRA × $/SF/mo × 12</t>
  </si>
  <si>
    <t xml:space="preserve">Retail gross rent (NNN)</t>
  </si>
  <si>
    <t xml:space="preserve">Retail NRA × $/SF/yr</t>
  </si>
  <si>
    <t xml:space="preserve">Gross potential revenue</t>
  </si>
  <si>
    <t xml:space="preserve">Effective gross income</t>
  </si>
  <si>
    <t xml:space="preserve">less vacancy &amp; credit loss</t>
  </si>
  <si>
    <t xml:space="preserve">Net operating income</t>
  </si>
  <si>
    <t xml:space="preserve">less opex ratio</t>
  </si>
  <si>
    <t xml:space="preserve">NOI ÷ exit cap</t>
  </si>
  <si>
    <t xml:space="preserve">RESIDUAL LAND VALUE</t>
  </si>
  <si>
    <t xml:space="preserve">Required developer profit</t>
  </si>
  <si>
    <t xml:space="preserve">Hurdle × total dev cost</t>
  </si>
  <si>
    <t xml:space="preserve">Residual land value (supported)</t>
  </si>
  <si>
    <t xml:space="preserve">Value − cost − profit = land</t>
  </si>
  <si>
    <t xml:space="preserve">Residual land value / SF</t>
  </si>
  <si>
    <t xml:space="preserve">APPRAISAL COMPARISON</t>
  </si>
  <si>
    <t xml:space="preserve">Variance (supported − appraised)</t>
  </si>
  <si>
    <t xml:space="preserve">Negative ⇒ appraisal not supported</t>
  </si>
  <si>
    <t xml:space="preserve">Supported-to-appraised coverage</t>
  </si>
  <si>
    <t xml:space="preserve">≥100% supports appraisal</t>
  </si>
  <si>
    <t xml:space="preserve">MODEL VERDICT</t>
  </si>
  <si>
    <t xml:space="preserve">LAND VALUE REALITY CHECK</t>
  </si>
  <si>
    <t xml:space="preserve">Appraisal vs developer-supported value under the active scenario.</t>
  </si>
  <si>
    <t xml:space="preserve">Metric</t>
  </si>
  <si>
    <t xml:space="preserve">Value</t>
  </si>
  <si>
    <t xml:space="preserve">Developer-supported value</t>
  </si>
  <si>
    <t xml:space="preserve">Dollar difference</t>
  </si>
  <si>
    <t xml:space="preserve">Percentage difference</t>
  </si>
  <si>
    <t xml:space="preserve">Supported $/SF</t>
  </si>
  <si>
    <t xml:space="preserve">Chart data</t>
  </si>
  <si>
    <t xml:space="preserve">NEGOTIATION WATERFALL</t>
  </si>
  <si>
    <t xml:space="preserve">From appraised value to developer-supported value. Step deltas are the marginal cost/risk items a developer prices in. Active scenario.</t>
  </si>
  <si>
    <t xml:space="preserve">Step</t>
  </si>
  <si>
    <t xml:space="preserve">Amount</t>
  </si>
  <si>
    <t xml:space="preserve">Running</t>
  </si>
  <si>
    <t xml:space="preserve">Less: Construction cost / inflation premium</t>
  </si>
  <si>
    <t xml:space="preserve">Less: Financing cost burden</t>
  </si>
  <si>
    <t xml:space="preserve">Less: Entitlement / density risk reserve</t>
  </si>
  <si>
    <t xml:space="preserve">Less: Insurance / HVHZ premium reserve</t>
  </si>
  <si>
    <t xml:space="preserve">Less: Flood mitigation / site premium</t>
  </si>
  <si>
    <t xml:space="preserve">Bridge check</t>
  </si>
  <si>
    <t xml:space="preserve">cat</t>
  </si>
  <si>
    <t xml:space="preserve">base</t>
  </si>
  <si>
    <t xml:space="preserve">delta</t>
  </si>
  <si>
    <t xml:space="preserve">Constr.</t>
  </si>
  <si>
    <t xml:space="preserve">Financing</t>
  </si>
  <si>
    <t xml:space="preserve">Entitlement</t>
  </si>
  <si>
    <t xml:space="preserve">Insurance</t>
  </si>
  <si>
    <t xml:space="preserve">Flood</t>
  </si>
  <si>
    <t xml:space="preserve">BUILDABLE AREA COMPARISON</t>
  </si>
  <si>
    <t xml:space="preserve">FAR 4.0 / 6.0 / 8.0 program scenarios. Demonstrates entitlement intensity required to justify pricing.</t>
  </si>
  <si>
    <t xml:space="preserve">Conservative FAR 4.0</t>
  </si>
  <si>
    <t xml:space="preserve">Moderate FAR 6.0</t>
  </si>
  <si>
    <t xml:space="preserve">Aggressive FAR 8.0</t>
  </si>
  <si>
    <t xml:space="preserve">Net rentable area (SF)</t>
  </si>
  <si>
    <t xml:space="preserve">Parking required (spaces)</t>
  </si>
  <si>
    <t xml:space="preserve">FAR</t>
  </si>
  <si>
    <t xml:space="preserve">Gross BA</t>
  </si>
  <si>
    <t xml:space="preserve">Net Rentable</t>
  </si>
  <si>
    <t xml:space="preserve">FAR 4.0</t>
  </si>
  <si>
    <t xml:space="preserve">FAR 6.0</t>
  </si>
  <si>
    <t xml:space="preserve">FAR 8.0</t>
  </si>
  <si>
    <t xml:space="preserve">RESIDUAL LAND VALUE CURVE</t>
  </si>
  <si>
    <t xml:space="preserve">Residual land value as the developer profit hurdle rises. Reference lines mark $8M–$12M and the $11.1M appraisal.</t>
  </si>
  <si>
    <t xml:space="preserve">Anchors (from engine, active scenario)</t>
  </si>
  <si>
    <t xml:space="preserve">Total dev cost (excl land &amp; profit)</t>
  </si>
  <si>
    <t xml:space="preserve">Profit hurdle</t>
  </si>
  <si>
    <t xml:space="preserve">Residual land value</t>
  </si>
  <si>
    <t xml:space="preserve">Appraisal ($11.1M)</t>
  </si>
  <si>
    <t xml:space="preserve">Where the navy curve drops below the red appraisal line, the appraisal is unsupported at that profit hurdle.</t>
  </si>
  <si>
    <t xml:space="preserve">INTEREST RATE DESTRUCTION MAP</t>
  </si>
  <si>
    <t xml:space="preserve">Residual land value across construction rate (rows) × hard-cost scenario (cols). How financing costs destroy land value.</t>
  </si>
  <si>
    <t xml:space="preserve">Anchors</t>
  </si>
  <si>
    <t xml:space="preserve">Cost excl land&amp;fin (base hard)</t>
  </si>
  <si>
    <t xml:space="preserve">LTC</t>
  </si>
  <si>
    <t xml:space="preserve">Build months</t>
  </si>
  <si>
    <t xml:space="preserve">Base hard $/SF</t>
  </si>
  <si>
    <t xml:space="preserve">Gross BA (SF)</t>
  </si>
  <si>
    <t xml:space="preserve">Soft+cont uplift factor (k)</t>
  </si>
  <si>
    <t xml:space="preserve">Construction rate \ Hard $/SF</t>
  </si>
  <si>
    <t xml:space="preserve">Each cell = residual land value. Red cells fall below viable land basis; the appraisal sits near $11.1M.</t>
  </si>
  <si>
    <t xml:space="preserve">SITE CONSTRAINT SCORECARD</t>
  </si>
  <si>
    <t xml:space="preserve">Risk rating by category. Red = high, Orange = medium, Green = low. Source-grounded where evidenced.</t>
  </si>
  <si>
    <t xml:space="preserve">Category</t>
  </si>
  <si>
    <t xml:space="preserve">Rating</t>
  </si>
  <si>
    <t xml:space="preserve">Basis</t>
  </si>
  <si>
    <t xml:space="preserve">Flood risk</t>
  </si>
  <si>
    <t xml:space="preserve">High</t>
  </si>
  <si>
    <t xml:space="preserve">AE flood zone per appraisal; requires fill, drainage, elevated podium.</t>
  </si>
  <si>
    <t xml:space="preserve">HVHZ construction</t>
  </si>
  <si>
    <t xml:space="preserve">Miami-Dade/Broward high-velocity hurricane zone; elevated hard cost &amp; insurance.</t>
  </si>
  <si>
    <t xml:space="preserve">Entitlement risk</t>
  </si>
  <si>
    <t xml:space="preserve">Medium</t>
  </si>
  <si>
    <t xml:space="preserve">RAC-RPO permits density but FAR/bonuses require municipal approval (pending).</t>
  </si>
  <si>
    <t xml:space="preserve">Parking burden</t>
  </si>
  <si>
    <t xml:space="preserve">Structured parking required; ~1.1 spaces/unit drives cost.</t>
  </si>
  <si>
    <t xml:space="preserve">Insurance cost</t>
  </si>
  <si>
    <t xml:space="preserve">Coastal + HVHZ + flood; premium reserve warranted.</t>
  </si>
  <si>
    <t xml:space="preserve">Financing environment</t>
  </si>
  <si>
    <t xml:space="preserve">Construction rates 7-9% materially compress residual land value.</t>
  </si>
  <si>
    <t xml:space="preserve">Absorption / lease-up risk</t>
  </si>
  <si>
    <t xml:space="preserve">New supply in FTL submarket; 24-36 month lease-up assumed.</t>
  </si>
  <si>
    <t xml:space="preserve">OVERALL RISK PROFILE</t>
  </si>
  <si>
    <t xml:space="preserve">ELEVATED</t>
  </si>
  <si>
    <t xml:space="preserve">Multiple high-rated constraints; supports conservative pricing vs appraisal.</t>
  </si>
  <si>
    <t xml:space="preserve">TORNADO SENSITIVITY</t>
  </si>
  <si>
    <t xml:space="preserve">Swing in residual land value from moving each driver to its Conservative vs Aggressive value. Ranked by impact.</t>
  </si>
  <si>
    <t xml:space="preserve">Base anchors</t>
  </si>
  <si>
    <t xml:space="preserve">Residual (base)</t>
  </si>
  <si>
    <t xml:space="preserve">Stab value (base)</t>
  </si>
  <si>
    <t xml:space="preserve">NOI (base)</t>
  </si>
  <si>
    <t xml:space="preserve">TotDev (base)</t>
  </si>
  <si>
    <t xml:space="preserve">GBA</t>
  </si>
  <si>
    <t xml:space="preserve">k uplift</t>
  </si>
  <si>
    <t xml:space="preserve">Variable</t>
  </si>
  <si>
    <t xml:space="preserve">Low case</t>
  </si>
  <si>
    <t xml:space="preserve">High case</t>
  </si>
  <si>
    <t xml:space="preserve">Swing</t>
  </si>
  <si>
    <t xml:space="preserve">Construction cost ($/SF)</t>
  </si>
  <si>
    <t xml:space="preserve">Residential rent</t>
  </si>
  <si>
    <t xml:space="preserve">Interest rate</t>
  </si>
  <si>
    <t xml:space="preserve">Vacancy / opex (EGI)</t>
  </si>
  <si>
    <t xml:space="preserve">Efficiency (NRA)</t>
  </si>
  <si>
    <t xml:space="preserve">Swing = |high − low| residual. Largest swings identify where the appraisal is most fragile.</t>
  </si>
  <si>
    <t xml:space="preserve">MOBILITY HUB CONCEPT ECONOMICS</t>
  </si>
  <si>
    <t xml:space="preserve">Alternative use: parking + fleet ops + EV charging + ancillary. Per project brief (200 transient / 100 fleet / 50 EV).</t>
  </si>
  <si>
    <t xml:space="preserve">REVENUE BUILD</t>
  </si>
  <si>
    <t xml:space="preserve">VALUE COMPARISON</t>
  </si>
  <si>
    <t xml:space="preserve">Transient parking revenue (/yr)</t>
  </si>
  <si>
    <t xml:space="preserve">Mobility hub supported land</t>
  </si>
  <si>
    <t xml:space="preserve">Fleet space revenue (/yr)</t>
  </si>
  <si>
    <t xml:space="preserve">Multifamily supported land</t>
  </si>
  <si>
    <t xml:space="preserve">EV charging net revenue (/yr)</t>
  </si>
  <si>
    <t xml:space="preserve">Ancillary service revenue (/yr)</t>
  </si>
  <si>
    <t xml:space="preserve">Gross revenue</t>
  </si>
  <si>
    <t xml:space="preserve">Operating expenses</t>
  </si>
  <si>
    <t xml:space="preserve">Hub</t>
  </si>
  <si>
    <t xml:space="preserve">Capitalized value (NOI / hub cap)</t>
  </si>
  <si>
    <t xml:space="preserve">Multifamily</t>
  </si>
  <si>
    <t xml:space="preserve">Est. hub development cost</t>
  </si>
  <si>
    <t xml:space="preserve">Hub residual land value</t>
  </si>
</sst>
</file>

<file path=xl/styles.xml><?xml version="1.0" encoding="utf-8"?>
<styleSheet xmlns="http://schemas.openxmlformats.org/spreadsheetml/2006/main">
  <numFmts count="20">
    <numFmt numFmtId="164" formatCode="General"/>
    <numFmt numFmtId="165" formatCode="\$#,##0;&quot;($&quot;#,##0\);\-"/>
    <numFmt numFmtId="166" formatCode="\$#,##0.00&quot; /SF&quot;"/>
    <numFmt numFmtId="167" formatCode="0.0%;\(0.0%\);\-"/>
    <numFmt numFmtId="168" formatCode="\$#,##0,,\M"/>
    <numFmt numFmtId="169" formatCode="#,##0;\(#,##0\);\-"/>
    <numFmt numFmtId="170" formatCode="\$#,##0.00;&quot;($&quot;#,##0.00\);\-"/>
    <numFmt numFmtId="171" formatCode="0.0"/>
    <numFmt numFmtId="172" formatCode="General"/>
    <numFmt numFmtId="173" formatCode="0.00"/>
    <numFmt numFmtId="174" formatCode="\$#,##0.00&quot; /SF&quot;;&quot;($&quot;#,##0.00\);\-"/>
    <numFmt numFmtId="175" formatCode="\$#,##0.00&quot; /SF&quot;;&quot;($&quot;#,##0.00\)"/>
    <numFmt numFmtId="176" formatCode="\$#,##0;&quot;($&quot;#,##0\)"/>
    <numFmt numFmtId="177" formatCode="#,##0;\(#,##0\)"/>
    <numFmt numFmtId="178" formatCode="#,##0"/>
    <numFmt numFmtId="179" formatCode="0.0%"/>
    <numFmt numFmtId="180" formatCode="\$#,##0.00"/>
    <numFmt numFmtId="181" formatCode="0.000"/>
    <numFmt numFmtId="182" formatCode="\$#,##0"/>
    <numFmt numFmtId="183" formatCode="\$#,##0.0,,\M"/>
  </numFmts>
  <fonts count="48">
    <font>
      <sz val="11"/>
      <color theme="1"/>
      <name val="Calibri"/>
      <family val="2"/>
      <charset val="1"/>
    </font>
    <font>
      <sz val="10"/>
      <name val="Arial"/>
      <family val="0"/>
    </font>
    <font>
      <sz val="10"/>
      <name val="Arial"/>
      <family val="0"/>
    </font>
    <font>
      <sz val="10"/>
      <name val="Arial"/>
      <family val="0"/>
    </font>
    <font>
      <sz val="10"/>
      <color rgb="FF1A1A1A"/>
      <name val="Arial"/>
      <family val="0"/>
      <charset val="1"/>
    </font>
    <font>
      <b val="true"/>
      <sz val="22"/>
      <color rgb="FF002060"/>
      <name val="Arial"/>
      <family val="0"/>
      <charset val="1"/>
    </font>
    <font>
      <sz val="13"/>
      <color rgb="FF595959"/>
      <name val="Arial"/>
      <family val="0"/>
      <charset val="1"/>
    </font>
    <font>
      <b val="true"/>
      <sz val="11"/>
      <color rgb="FFC65911"/>
      <name val="Arial"/>
      <family val="0"/>
      <charset val="1"/>
    </font>
    <font>
      <b val="true"/>
      <sz val="10"/>
      <color rgb="FF002060"/>
      <name val="Arial"/>
      <family val="0"/>
      <charset val="1"/>
    </font>
    <font>
      <b val="true"/>
      <sz val="11"/>
      <color rgb="FFFFFFFF"/>
      <name val="Arial"/>
      <family val="0"/>
      <charset val="1"/>
    </font>
    <font>
      <sz val="9"/>
      <color rgb="FF595959"/>
      <name val="Arial"/>
      <family val="0"/>
      <charset val="1"/>
    </font>
    <font>
      <i val="true"/>
      <sz val="8"/>
      <color rgb="FF808080"/>
      <name val="Arial"/>
      <family val="0"/>
      <charset val="1"/>
    </font>
    <font>
      <b val="true"/>
      <sz val="15"/>
      <color rgb="FFFFFFFF"/>
      <name val="Arial"/>
      <family val="0"/>
      <charset val="1"/>
    </font>
    <font>
      <i val="true"/>
      <sz val="8"/>
      <color rgb="FF595959"/>
      <name val="Arial"/>
      <family val="0"/>
      <charset val="1"/>
    </font>
    <font>
      <sz val="8.5"/>
      <color rgb="FF1A1A1A"/>
      <name val="Arial"/>
      <family val="0"/>
      <charset val="1"/>
    </font>
    <font>
      <b val="true"/>
      <sz val="20"/>
      <color rgb="FFFFFFFF"/>
      <name val="Arial"/>
      <family val="0"/>
      <charset val="1"/>
    </font>
    <font>
      <sz val="8.5"/>
      <color rgb="FF002060"/>
      <name val="Arial"/>
      <family val="0"/>
      <charset val="1"/>
    </font>
    <font>
      <b val="true"/>
      <sz val="9"/>
      <color rgb="FF1A1A1A"/>
      <name val="Arial"/>
      <family val="0"/>
      <charset val="1"/>
    </font>
    <font>
      <b val="true"/>
      <sz val="9"/>
      <color rgb="FF002060"/>
      <name val="Arial"/>
      <family val="0"/>
      <charset val="1"/>
    </font>
    <font>
      <b val="true"/>
      <sz val="8.5"/>
      <color rgb="FF002060"/>
      <name val="Arial"/>
      <family val="0"/>
      <charset val="1"/>
    </font>
    <font>
      <b val="true"/>
      <sz val="11"/>
      <color rgb="FF002060"/>
      <name val="Arial"/>
      <family val="0"/>
      <charset val="1"/>
    </font>
    <font>
      <i val="true"/>
      <sz val="7"/>
      <color rgb="FF808080"/>
      <name val="Arial"/>
      <family val="0"/>
      <charset val="1"/>
    </font>
    <font>
      <sz val="10"/>
      <color rgb="FF000000"/>
      <name val="Calibri"/>
      <family val="2"/>
    </font>
    <font>
      <b val="true"/>
      <sz val="10"/>
      <color rgb="FF000000"/>
      <name val="Calibri"/>
      <family val="2"/>
    </font>
    <font>
      <b val="true"/>
      <sz val="14"/>
      <color rgb="FFFFFFFF"/>
      <name val="Arial"/>
      <family val="0"/>
      <charset val="1"/>
    </font>
    <font>
      <b val="true"/>
      <sz val="10"/>
      <color rgb="FFFFFFFF"/>
      <name val="Arial"/>
      <family val="0"/>
      <charset val="1"/>
    </font>
    <font>
      <i val="true"/>
      <sz val="9"/>
      <color rgb="FF808080"/>
      <name val="Arial"/>
      <family val="0"/>
      <charset val="1"/>
    </font>
    <font>
      <sz val="9"/>
      <color rgb="FF1A1A1A"/>
      <name val="Arial"/>
      <family val="0"/>
      <charset val="1"/>
    </font>
    <font>
      <b val="true"/>
      <sz val="9"/>
      <color rgb="FF548235"/>
      <name val="Arial"/>
      <family val="0"/>
      <charset val="1"/>
    </font>
    <font>
      <b val="true"/>
      <sz val="28"/>
      <color rgb="FF002060"/>
      <name val="Arial"/>
      <family val="0"/>
      <charset val="1"/>
    </font>
    <font>
      <b val="true"/>
      <sz val="10"/>
      <color rgb="FF1A1A1A"/>
      <name val="Arial"/>
      <family val="0"/>
      <charset val="1"/>
    </font>
    <font>
      <b val="true"/>
      <sz val="11"/>
      <color rgb="FF548235"/>
      <name val="Arial"/>
      <family val="0"/>
      <charset val="1"/>
    </font>
    <font>
      <b val="true"/>
      <sz val="11"/>
      <color rgb="FFC00000"/>
      <name val="Arial"/>
      <family val="0"/>
      <charset val="1"/>
    </font>
    <font>
      <b val="true"/>
      <sz val="11"/>
      <color rgb="FF0000FF"/>
      <name val="Arial"/>
      <family val="0"/>
      <charset val="1"/>
    </font>
    <font>
      <b val="true"/>
      <sz val="10"/>
      <color rgb="FF548235"/>
      <name val="Arial"/>
      <family val="0"/>
      <charset val="1"/>
    </font>
    <font>
      <sz val="10"/>
      <color rgb="FF0000FF"/>
      <name val="Arial"/>
      <family val="0"/>
      <charset val="1"/>
    </font>
    <font>
      <sz val="8"/>
      <color rgb="FF595959"/>
      <name val="Arial"/>
      <family val="0"/>
      <charset val="1"/>
    </font>
    <font>
      <sz val="10"/>
      <name val="Arial"/>
      <family val="2"/>
    </font>
    <font>
      <i val="true"/>
      <sz val="9"/>
      <color rgb="FF843C0C"/>
      <name val="Arial"/>
      <family val="0"/>
      <charset val="1"/>
    </font>
    <font>
      <sz val="9"/>
      <color rgb="FF548235"/>
      <name val="Arial"/>
      <family val="0"/>
      <charset val="1"/>
    </font>
    <font>
      <b val="true"/>
      <sz val="9"/>
      <color rgb="FF843C0C"/>
      <name val="Arial"/>
      <family val="0"/>
      <charset val="1"/>
    </font>
    <font>
      <b val="true"/>
      <sz val="12"/>
      <color rgb="FFFFFFFF"/>
      <name val="Arial"/>
      <family val="0"/>
      <charset val="1"/>
    </font>
    <font>
      <b val="true"/>
      <sz val="18"/>
      <color rgb="FF000000"/>
      <name val="Calibri"/>
      <family val="2"/>
    </font>
    <font>
      <b val="true"/>
      <sz val="8"/>
      <color rgb="FF1A1A1A"/>
      <name val="Arial"/>
      <family val="0"/>
      <charset val="1"/>
    </font>
    <font>
      <sz val="10"/>
      <color rgb="FFC00000"/>
      <name val="Arial"/>
      <family val="0"/>
      <charset val="1"/>
    </font>
    <font>
      <sz val="11"/>
      <color theme="1"/>
      <name val="Arial"/>
      <family val="2"/>
      <charset val="1"/>
    </font>
    <font>
      <b val="true"/>
      <sz val="9"/>
      <color rgb="FFFFFFFF"/>
      <name val="Arial"/>
      <family val="0"/>
      <charset val="1"/>
    </font>
    <font>
      <b val="true"/>
      <sz val="9"/>
      <color rgb="FF0000FF"/>
      <name val="Arial"/>
      <family val="0"/>
      <charset val="1"/>
    </font>
  </fonts>
  <fills count="14">
    <fill>
      <patternFill patternType="none"/>
    </fill>
    <fill>
      <patternFill patternType="gray125"/>
    </fill>
    <fill>
      <patternFill patternType="solid">
        <fgColor rgb="FF002060"/>
        <bgColor rgb="FF000080"/>
      </patternFill>
    </fill>
    <fill>
      <patternFill patternType="solid">
        <fgColor rgb="FFF2F2F2"/>
        <bgColor rgb="FFFAFAFA"/>
      </patternFill>
    </fill>
    <fill>
      <patternFill patternType="solid">
        <fgColor rgb="FFFFFFFF"/>
        <bgColor rgb="FFFAFAFA"/>
      </patternFill>
    </fill>
    <fill>
      <patternFill patternType="solid">
        <fgColor rgb="FFFAFAFA"/>
        <bgColor rgb="FFFFFFFF"/>
      </patternFill>
    </fill>
    <fill>
      <patternFill patternType="solid">
        <fgColor rgb="FFC65911"/>
        <bgColor rgb="FFAB4744"/>
      </patternFill>
    </fill>
    <fill>
      <patternFill patternType="solid">
        <fgColor rgb="FFF4CCCC"/>
        <bgColor rgb="FFD9D9D9"/>
      </patternFill>
    </fill>
    <fill>
      <patternFill patternType="solid">
        <fgColor rgb="FFFCE5CD"/>
        <bgColor rgb="FFFCE4D6"/>
      </patternFill>
    </fill>
    <fill>
      <patternFill patternType="solid">
        <fgColor rgb="FFD9E1F2"/>
        <bgColor rgb="FFD9D9D9"/>
      </patternFill>
    </fill>
    <fill>
      <patternFill patternType="solid">
        <fgColor rgb="FFFFFF00"/>
        <bgColor rgb="FFFFFF00"/>
      </patternFill>
    </fill>
    <fill>
      <patternFill patternType="solid">
        <fgColor rgb="FF548235"/>
        <bgColor rgb="FF339966"/>
      </patternFill>
    </fill>
    <fill>
      <patternFill patternType="solid">
        <fgColor rgb="FFFCE4D6"/>
        <bgColor rgb="FFFCE5CD"/>
      </patternFill>
    </fill>
    <fill>
      <patternFill patternType="solid">
        <fgColor rgb="FFC00000"/>
        <bgColor rgb="FF800000"/>
      </patternFill>
    </fill>
  </fills>
  <borders count="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002060"/>
      </left>
      <right/>
      <top style="medium">
        <color rgb="FF002060"/>
      </top>
      <bottom/>
      <diagonal/>
    </border>
    <border diagonalUp="false" diagonalDown="false">
      <left style="thin">
        <color rgb="FFBFBFBF"/>
      </left>
      <right/>
      <top style="thin">
        <color rgb="FFBFBFBF"/>
      </top>
      <bottom style="thin">
        <color rgb="FFBFBFBF"/>
      </bottom>
      <diagonal/>
    </border>
    <border diagonalUp="false" diagonalDown="false">
      <left/>
      <right style="thin">
        <color rgb="FFBFBFBF"/>
      </right>
      <top/>
      <bottom style="thin">
        <color rgb="FFBFBFBF"/>
      </bottom>
      <diagonal/>
    </border>
    <border diagonalUp="false" diagonalDown="false">
      <left style="medium">
        <color rgb="FF002060"/>
      </left>
      <right style="medium">
        <color rgb="FF002060"/>
      </right>
      <top style="medium">
        <color rgb="FF002060"/>
      </top>
      <bottom style="medium">
        <color rgb="FF002060"/>
      </bottom>
      <diagonal/>
    </border>
    <border diagonalUp="false" diagonalDown="false">
      <left style="thin">
        <color rgb="FFBFBFBF"/>
      </left>
      <right style="thin">
        <color rgb="FFBFBFBF"/>
      </right>
      <top style="thin">
        <color rgb="FF00206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1" shrinkToFit="false"/>
      <protection locked="true" hidden="false"/>
    </xf>
    <xf numFmtId="164" fontId="10" fillId="3" borderId="0" xfId="0" applyFont="true" applyBorder="true" applyAlignment="true" applyProtection="false">
      <alignment horizontal="left" vertical="center" textRotation="0" wrapText="false" indent="1" shrinkToFit="false"/>
      <protection locked="true" hidden="false"/>
    </xf>
    <xf numFmtId="164" fontId="13" fillId="4" borderId="0" xfId="0" applyFont="true" applyBorder="true" applyAlignment="true" applyProtection="false">
      <alignment horizontal="left" vertical="center" textRotation="0" wrapText="false" indent="1"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6" fillId="4" borderId="3" xfId="0" applyFont="true" applyBorder="true" applyAlignment="true" applyProtection="false">
      <alignment horizontal="left" vertical="center" textRotation="0" wrapText="false" indent="1" shrinkToFit="false"/>
      <protection locked="true" hidden="false"/>
    </xf>
    <xf numFmtId="165" fontId="17" fillId="4" borderId="1" xfId="0" applyFont="true" applyBorder="true" applyAlignment="true" applyProtection="false">
      <alignment horizontal="right" vertical="center" textRotation="0" wrapText="false" indent="0" shrinkToFit="false"/>
      <protection locked="true" hidden="false"/>
    </xf>
    <xf numFmtId="164" fontId="16" fillId="5" borderId="3" xfId="0" applyFont="true" applyBorder="true" applyAlignment="true" applyProtection="false">
      <alignment horizontal="left" vertical="center" textRotation="0" wrapText="false" indent="1" shrinkToFit="false"/>
      <protection locked="true" hidden="false"/>
    </xf>
    <xf numFmtId="166" fontId="17" fillId="5" borderId="1" xfId="0" applyFont="true" applyBorder="true" applyAlignment="true" applyProtection="false">
      <alignment horizontal="right" vertical="center" textRotation="0" wrapText="false" indent="0" shrinkToFit="false"/>
      <protection locked="true" hidden="false"/>
    </xf>
    <xf numFmtId="164" fontId="18" fillId="3" borderId="3" xfId="0" applyFont="true" applyBorder="true" applyAlignment="true" applyProtection="false">
      <alignment horizontal="center" vertical="center" textRotation="0" wrapText="false" indent="0" shrinkToFit="false"/>
      <protection locked="true" hidden="false"/>
    </xf>
    <xf numFmtId="165" fontId="17" fillId="5" borderId="1" xfId="0" applyFont="true" applyBorder="true" applyAlignment="true" applyProtection="false">
      <alignment horizontal="right" vertical="center" textRotation="0" wrapText="false" indent="0" shrinkToFit="false"/>
      <protection locked="true" hidden="false"/>
    </xf>
    <xf numFmtId="167" fontId="17" fillId="4" borderId="1" xfId="0" applyFont="true" applyBorder="true" applyAlignment="true" applyProtection="false">
      <alignment horizontal="right" vertical="center" textRotation="0" wrapText="false" indent="0" shrinkToFit="false"/>
      <protection locked="true" hidden="false"/>
    </xf>
    <xf numFmtId="164" fontId="9" fillId="2" borderId="4" xfId="0" applyFont="true" applyBorder="true" applyAlignment="true" applyProtection="false">
      <alignment horizontal="left" vertical="center" textRotation="0" wrapText="false" indent="1" shrinkToFit="false"/>
      <protection locked="true" hidden="false"/>
    </xf>
    <xf numFmtId="164" fontId="19" fillId="7" borderId="3" xfId="0" applyFont="true" applyBorder="true" applyAlignment="true" applyProtection="false">
      <alignment horizontal="left" vertical="center" textRotation="0" wrapText="false" indent="1" shrinkToFit="false"/>
      <protection locked="true" hidden="false"/>
    </xf>
    <xf numFmtId="164" fontId="19" fillId="8" borderId="3" xfId="0" applyFont="true" applyBorder="true" applyAlignment="true" applyProtection="false">
      <alignment horizontal="left" vertical="center" textRotation="0" wrapText="false" indent="1" shrinkToFit="false"/>
      <protection locked="true" hidden="false"/>
    </xf>
    <xf numFmtId="164" fontId="20" fillId="9" borderId="5" xfId="0" applyFont="true" applyBorder="true" applyAlignment="true" applyProtection="false">
      <alignment horizontal="left" vertical="center" textRotation="0" wrapText="true" indent="0" shrinkToFit="false"/>
      <protection locked="true" hidden="false"/>
    </xf>
    <xf numFmtId="164" fontId="21" fillId="4" borderId="0" xfId="0" applyFont="true" applyBorder="true" applyAlignment="true" applyProtection="false">
      <alignment horizontal="left" vertical="center" textRotation="0" wrapText="true" indent="0" shrinkToFit="false"/>
      <protection locked="true" hidden="false"/>
    </xf>
    <xf numFmtId="164" fontId="24" fillId="2" borderId="0" xfId="0" applyFont="true" applyBorder="true" applyAlignment="true" applyProtection="false">
      <alignment horizontal="left" vertical="center" textRotation="0" wrapText="false" indent="1"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25" fillId="2" borderId="1" xfId="0" applyFont="true" applyBorder="true" applyAlignment="true" applyProtection="false">
      <alignment horizontal="center" vertical="center" textRotation="0" wrapText="fals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false" indent="1" shrinkToFit="false"/>
      <protection locked="true" hidden="false"/>
    </xf>
    <xf numFmtId="169" fontId="28" fillId="0" borderId="1" xfId="0" applyFont="true" applyBorder="true" applyAlignment="true" applyProtection="false">
      <alignment horizontal="right" vertical="center" textRotation="0" wrapText="false" indent="0" shrinkToFit="false"/>
      <protection locked="true" hidden="false"/>
    </xf>
    <xf numFmtId="165" fontId="28" fillId="0" borderId="1" xfId="0" applyFont="true" applyBorder="true" applyAlignment="true" applyProtection="false">
      <alignment horizontal="right" vertical="center" textRotation="0" wrapText="false" indent="0" shrinkToFit="false"/>
      <protection locked="true" hidden="false"/>
    </xf>
    <xf numFmtId="170" fontId="28" fillId="0" borderId="1" xfId="0" applyFont="true" applyBorder="true" applyAlignment="true" applyProtection="false">
      <alignment horizontal="right" vertical="center" textRotation="0" wrapText="false" indent="0" shrinkToFit="false"/>
      <protection locked="true" hidden="false"/>
    </xf>
    <xf numFmtId="171" fontId="28" fillId="0" borderId="1" xfId="0"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5" fontId="29" fillId="9"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7" fontId="28" fillId="0" borderId="1" xfId="0" applyFont="true" applyBorder="true" applyAlignment="true" applyProtection="false">
      <alignment horizontal="right" vertical="center" textRotation="0" wrapText="false" indent="0" shrinkToFit="false"/>
      <protection locked="true" hidden="false"/>
    </xf>
    <xf numFmtId="164" fontId="30" fillId="3" borderId="1" xfId="0" applyFont="true" applyBorder="true" applyAlignment="true" applyProtection="false">
      <alignment horizontal="center" vertical="center" textRotation="0" wrapText="false" indent="0" shrinkToFit="false"/>
      <protection locked="true" hidden="false"/>
    </xf>
    <xf numFmtId="165" fontId="20" fillId="3" borderId="1" xfId="0" applyFont="true" applyBorder="true" applyAlignment="true" applyProtection="false">
      <alignment horizontal="center" vertical="center" textRotation="0" wrapText="false" indent="0" shrinkToFit="false"/>
      <protection locked="true" hidden="false"/>
    </xf>
    <xf numFmtId="165" fontId="31" fillId="3" borderId="1" xfId="0" applyFont="true" applyBorder="true" applyAlignment="true" applyProtection="false">
      <alignment horizontal="center" vertical="center" textRotation="0" wrapText="false" indent="0" shrinkToFit="false"/>
      <protection locked="true" hidden="false"/>
    </xf>
    <xf numFmtId="165" fontId="32"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33" fillId="10" borderId="1"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2" fontId="34" fillId="3" borderId="1" xfId="0" applyFont="true" applyBorder="true" applyAlignment="true" applyProtection="false">
      <alignment horizontal="center" vertical="center" textRotation="0" wrapText="false" indent="0" shrinkToFit="false"/>
      <protection locked="true" hidden="false"/>
    </xf>
    <xf numFmtId="164" fontId="25" fillId="11"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1"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1" shrinkToFit="false"/>
      <protection locked="true" hidden="false"/>
    </xf>
    <xf numFmtId="169" fontId="35" fillId="0" borderId="1" xfId="0" applyFont="true" applyBorder="true" applyAlignment="true" applyProtection="false">
      <alignment horizontal="center" vertical="center" textRotation="0" wrapText="false" indent="0" shrinkToFit="false"/>
      <protection locked="true" hidden="false"/>
    </xf>
    <xf numFmtId="169" fontId="34" fillId="9"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left" vertical="center" textRotation="0" wrapText="true" indent="0" shrinkToFit="false"/>
      <protection locked="true" hidden="false"/>
    </xf>
    <xf numFmtId="173" fontId="4" fillId="0" borderId="1" xfId="0" applyFont="true" applyBorder="true" applyAlignment="true" applyProtection="false">
      <alignment horizontal="center" vertical="center" textRotation="0" wrapText="false" indent="0" shrinkToFit="false"/>
      <protection locked="true" hidden="false"/>
    </xf>
    <xf numFmtId="173" fontId="34" fillId="9" borderId="1" xfId="0" applyFont="true" applyBorder="true" applyAlignment="true" applyProtection="false">
      <alignment horizontal="center" vertical="center" textRotation="0" wrapText="false" indent="0" shrinkToFit="false"/>
      <protection locked="true" hidden="false"/>
    </xf>
    <xf numFmtId="165" fontId="35" fillId="0" borderId="1" xfId="0" applyFont="true" applyBorder="true" applyAlignment="true" applyProtection="false">
      <alignment horizontal="center" vertical="center" textRotation="0" wrapText="false" indent="0" shrinkToFit="false"/>
      <protection locked="true" hidden="false"/>
    </xf>
    <xf numFmtId="165" fontId="34" fillId="9" borderId="1" xfId="0" applyFont="true" applyBorder="true" applyAlignment="true" applyProtection="false">
      <alignment horizontal="center" vertical="center" textRotation="0" wrapText="false" indent="0" shrinkToFit="false"/>
      <protection locked="true" hidden="false"/>
    </xf>
    <xf numFmtId="174" fontId="4" fillId="0" borderId="1" xfId="0" applyFont="true" applyBorder="true" applyAlignment="true" applyProtection="false">
      <alignment horizontal="center" vertical="center" textRotation="0" wrapText="false" indent="0" shrinkToFit="false"/>
      <protection locked="true" hidden="false"/>
    </xf>
    <xf numFmtId="174" fontId="34" fillId="9" borderId="1" xfId="0" applyFont="true" applyBorder="true" applyAlignment="true" applyProtection="false">
      <alignment horizontal="center" vertical="center" textRotation="0" wrapText="false" indent="0" shrinkToFit="false"/>
      <protection locked="true" hidden="false"/>
    </xf>
    <xf numFmtId="171" fontId="35" fillId="0" borderId="1" xfId="0" applyFont="true" applyBorder="true" applyAlignment="true" applyProtection="false">
      <alignment horizontal="center" vertical="center" textRotation="0" wrapText="false" indent="0" shrinkToFit="false"/>
      <protection locked="true" hidden="false"/>
    </xf>
    <xf numFmtId="171" fontId="34" fillId="9" borderId="1" xfId="0" applyFont="true" applyBorder="true" applyAlignment="true" applyProtection="false">
      <alignment horizontal="center" vertical="center" textRotation="0" wrapText="false" indent="0" shrinkToFit="false"/>
      <protection locked="true" hidden="false"/>
    </xf>
    <xf numFmtId="167" fontId="35" fillId="0" borderId="1" xfId="0" applyFont="true" applyBorder="true" applyAlignment="true" applyProtection="false">
      <alignment horizontal="center" vertical="center" textRotation="0" wrapText="false" indent="0" shrinkToFit="false"/>
      <protection locked="true" hidden="false"/>
    </xf>
    <xf numFmtId="167" fontId="34" fillId="9" borderId="1" xfId="0" applyFont="true" applyBorder="true" applyAlignment="true" applyProtection="false">
      <alignment horizontal="center" vertical="center" textRotation="0" wrapText="false" indent="0" shrinkToFit="false"/>
      <protection locked="true" hidden="false"/>
    </xf>
    <xf numFmtId="170" fontId="35" fillId="0" borderId="1" xfId="0" applyFont="true" applyBorder="true" applyAlignment="true" applyProtection="false">
      <alignment horizontal="center" vertical="center" textRotation="0" wrapText="false" indent="0" shrinkToFit="false"/>
      <protection locked="true" hidden="false"/>
    </xf>
    <xf numFmtId="170" fontId="34" fillId="9" borderId="1" xfId="0" applyFont="true" applyBorder="true" applyAlignment="true" applyProtection="false">
      <alignment horizontal="center" vertical="center" textRotation="0" wrapText="false" indent="0" shrinkToFit="false"/>
      <protection locked="true" hidden="false"/>
    </xf>
    <xf numFmtId="173" fontId="35" fillId="0" borderId="1" xfId="0" applyFont="true" applyBorder="tru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38" fillId="12" borderId="0"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39" fillId="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40" fillId="10" borderId="1" xfId="0" applyFont="true" applyBorder="true" applyAlignment="true" applyProtection="false">
      <alignment horizontal="center" vertical="center" textRotation="0" wrapText="false" indent="0" shrinkToFit="false"/>
      <protection locked="true" hidden="false"/>
    </xf>
    <xf numFmtId="164" fontId="17" fillId="10" borderId="1" xfId="0" applyFont="true" applyBorder="true" applyAlignment="true" applyProtection="false">
      <alignment horizontal="left" vertical="center" textRotation="0" wrapText="true" indent="0" shrinkToFit="false"/>
      <protection locked="true" hidden="false"/>
    </xf>
    <xf numFmtId="164" fontId="39" fillId="10" borderId="1" xfId="0" applyFont="true" applyBorder="true" applyAlignment="true" applyProtection="false">
      <alignment horizontal="center" vertical="center" textRotation="0" wrapText="false" indent="0" shrinkToFit="false"/>
      <protection locked="true" hidden="false"/>
    </xf>
    <xf numFmtId="164" fontId="27" fillId="10" borderId="1" xfId="0" applyFont="true" applyBorder="true" applyAlignment="true" applyProtection="false">
      <alignment horizontal="left" vertical="center" textRotation="0" wrapText="tru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9" fontId="4" fillId="0" borderId="1" xfId="0" applyFont="true" applyBorder="true" applyAlignment="true" applyProtection="false">
      <alignment horizontal="right" vertical="center" textRotation="0" wrapText="false" indent="0" shrinkToFit="false"/>
      <protection locked="true" hidden="false"/>
    </xf>
    <xf numFmtId="164" fontId="36" fillId="0" borderId="0" xfId="0" applyFont="true" applyBorder="false" applyAlignment="true" applyProtection="false">
      <alignment horizontal="left" vertical="center" textRotation="0" wrapText="true" indent="0" shrinkToFit="false"/>
      <protection locked="true" hidden="false"/>
    </xf>
    <xf numFmtId="164" fontId="30" fillId="0" borderId="1" xfId="0" applyFont="true" applyBorder="true" applyAlignment="true" applyProtection="false">
      <alignment horizontal="left" vertical="center" textRotation="0" wrapText="false" indent="1" shrinkToFit="false"/>
      <protection locked="true" hidden="false"/>
    </xf>
    <xf numFmtId="169" fontId="30" fillId="0" borderId="6" xfId="0" applyFont="true" applyBorder="true" applyAlignment="true" applyProtection="false">
      <alignment horizontal="right" vertical="center" textRotation="0" wrapText="false" indent="0" shrinkToFit="false"/>
      <protection locked="true" hidden="false"/>
    </xf>
    <xf numFmtId="165" fontId="4" fillId="0" borderId="1" xfId="0" applyFont="true" applyBorder="true" applyAlignment="true" applyProtection="false">
      <alignment horizontal="right" vertical="center" textRotation="0" wrapText="false" indent="0" shrinkToFit="false"/>
      <protection locked="true" hidden="false"/>
    </xf>
    <xf numFmtId="165" fontId="30" fillId="0" borderId="6" xfId="0" applyFont="true" applyBorder="true" applyAlignment="true" applyProtection="false">
      <alignment horizontal="right" vertical="center" textRotation="0" wrapText="false" indent="0" shrinkToFit="false"/>
      <protection locked="true" hidden="false"/>
    </xf>
    <xf numFmtId="164" fontId="30" fillId="3" borderId="1" xfId="0" applyFont="true" applyBorder="true" applyAlignment="true" applyProtection="false">
      <alignment horizontal="left" vertical="center" textRotation="0" wrapText="false" indent="1" shrinkToFit="false"/>
      <protection locked="true" hidden="false"/>
    </xf>
    <xf numFmtId="165" fontId="30" fillId="3" borderId="6" xfId="0" applyFont="true" applyBorder="true" applyAlignment="true" applyProtection="false">
      <alignment horizontal="right" vertical="center" textRotation="0" wrapText="false" indent="0" shrinkToFit="false"/>
      <protection locked="true" hidden="false"/>
    </xf>
    <xf numFmtId="165" fontId="30" fillId="0" borderId="1" xfId="0" applyFont="true" applyBorder="true" applyAlignment="true" applyProtection="false">
      <alignment horizontal="right" vertical="center" textRotation="0" wrapText="false" indent="0" shrinkToFit="false"/>
      <protection locked="true" hidden="false"/>
    </xf>
    <xf numFmtId="164" fontId="30" fillId="9" borderId="1" xfId="0" applyFont="true" applyBorder="true" applyAlignment="true" applyProtection="false">
      <alignment horizontal="left" vertical="center" textRotation="0" wrapText="false" indent="1" shrinkToFit="false"/>
      <protection locked="true" hidden="false"/>
    </xf>
    <xf numFmtId="165" fontId="30" fillId="9" borderId="6" xfId="0" applyFont="true" applyBorder="true" applyAlignment="true" applyProtection="false">
      <alignment horizontal="right" vertical="center" textRotation="0" wrapText="false" indent="0" shrinkToFit="false"/>
      <protection locked="true" hidden="false"/>
    </xf>
    <xf numFmtId="164" fontId="25" fillId="11" borderId="1" xfId="0" applyFont="true" applyBorder="true" applyAlignment="true" applyProtection="false">
      <alignment horizontal="left" vertical="center" textRotation="0" wrapText="false" indent="1" shrinkToFit="false"/>
      <protection locked="true" hidden="false"/>
    </xf>
    <xf numFmtId="165" fontId="25" fillId="11" borderId="6" xfId="0" applyFont="true" applyBorder="true" applyAlignment="true" applyProtection="false">
      <alignment horizontal="right" vertical="center" textRotation="0" wrapText="false" indent="0" shrinkToFit="false"/>
      <protection locked="true" hidden="false"/>
    </xf>
    <xf numFmtId="175" fontId="30" fillId="0" borderId="1" xfId="0" applyFont="true" applyBorder="true" applyAlignment="true" applyProtection="false">
      <alignment horizontal="right" vertical="center" textRotation="0" wrapText="false" indent="0" shrinkToFit="false"/>
      <protection locked="true" hidden="false"/>
    </xf>
    <xf numFmtId="167" fontId="30" fillId="0" borderId="1" xfId="0"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1" shrinkToFit="false"/>
      <protection locked="true" hidden="false"/>
    </xf>
    <xf numFmtId="164" fontId="41"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right" vertical="center" textRotation="0" wrapText="false" indent="0" shrinkToFit="false"/>
      <protection locked="true" hidden="false"/>
    </xf>
    <xf numFmtId="165" fontId="31" fillId="0" borderId="1" xfId="0" applyFont="true" applyBorder="true" applyAlignment="true" applyProtection="false">
      <alignment horizontal="right" vertical="center" textRotation="0" wrapText="false" indent="0" shrinkToFit="false"/>
      <protection locked="true" hidden="false"/>
    </xf>
    <xf numFmtId="165" fontId="32" fillId="0" borderId="1" xfId="0" applyFont="true" applyBorder="true" applyAlignment="true" applyProtection="false">
      <alignment horizontal="right" vertical="center" textRotation="0" wrapText="false" indent="0" shrinkToFit="false"/>
      <protection locked="true" hidden="false"/>
    </xf>
    <xf numFmtId="167" fontId="32" fillId="0" borderId="1" xfId="0" applyFont="true" applyBorder="true" applyAlignment="true" applyProtection="false">
      <alignment horizontal="right" vertical="center" textRotation="0" wrapText="false" indent="0" shrinkToFit="false"/>
      <protection locked="true" hidden="false"/>
    </xf>
    <xf numFmtId="170" fontId="20" fillId="0" borderId="1" xfId="0" applyFont="true" applyBorder="true" applyAlignment="true" applyProtection="false">
      <alignment horizontal="right" vertical="center" textRotation="0" wrapText="false" indent="0" shrinkToFit="false"/>
      <protection locked="true" hidden="false"/>
    </xf>
    <xf numFmtId="170" fontId="31" fillId="0" borderId="1" xfId="0" applyFont="tru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left" vertical="center" textRotation="0" wrapText="false" indent="0" shrinkToFit="false"/>
      <protection locked="true" hidden="false"/>
    </xf>
    <xf numFmtId="164" fontId="43" fillId="0" borderId="0" xfId="0" applyFont="true" applyBorder="false" applyAlignment="true" applyProtection="false">
      <alignment horizontal="left" vertical="center" textRotation="0" wrapText="false" indent="0" shrinkToFit="false"/>
      <protection locked="true" hidden="false"/>
    </xf>
    <xf numFmtId="176" fontId="8" fillId="3" borderId="1" xfId="0" applyFont="true" applyBorder="true" applyAlignment="true" applyProtection="false">
      <alignment horizontal="left" vertical="center" textRotation="0" wrapText="false" indent="1" shrinkToFit="false"/>
      <protection locked="true" hidden="false"/>
    </xf>
    <xf numFmtId="176" fontId="8" fillId="3" borderId="1" xfId="0" applyFont="true" applyBorder="true" applyAlignment="true" applyProtection="false">
      <alignment horizontal="right" vertical="center" textRotation="0" wrapText="false" indent="0" shrinkToFit="false"/>
      <protection locked="true" hidden="false"/>
    </xf>
    <xf numFmtId="176" fontId="44" fillId="0" borderId="1" xfId="0" applyFont="true" applyBorder="true" applyAlignment="true" applyProtection="false">
      <alignment horizontal="right" vertical="center" textRotation="0" wrapText="false" indent="0" shrinkToFit="false"/>
      <protection locked="true" hidden="false"/>
    </xf>
    <xf numFmtId="176" fontId="4" fillId="0" borderId="1" xfId="0" applyFont="true" applyBorder="true" applyAlignment="true" applyProtection="false">
      <alignment horizontal="right" vertical="center" textRotation="0" wrapText="false" indent="0" shrinkToFit="false"/>
      <protection locked="true" hidden="false"/>
    </xf>
    <xf numFmtId="176" fontId="25" fillId="11"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1"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6" fontId="45" fillId="0" borderId="0" xfId="0" applyFont="true" applyBorder="false" applyAlignment="true" applyProtection="false">
      <alignment horizontal="general" vertical="bottom" textRotation="0" wrapText="false" indent="0" shrinkToFit="false"/>
      <protection locked="true" hidden="false"/>
    </xf>
    <xf numFmtId="164" fontId="25" fillId="2" borderId="1" xfId="0" applyFont="true" applyBorder="true" applyAlignment="true" applyProtection="false">
      <alignment horizontal="center" vertical="center" textRotation="0" wrapText="true" indent="0" shrinkToFit="false"/>
      <protection locked="true" hidden="false"/>
    </xf>
    <xf numFmtId="177" fontId="4" fillId="0" borderId="1" xfId="0" applyFont="true" applyBorder="true" applyAlignment="true" applyProtection="false">
      <alignment horizontal="right" vertical="center" textRotation="0" wrapText="false" indent="0" shrinkToFit="false"/>
      <protection locked="true" hidden="false"/>
    </xf>
    <xf numFmtId="177" fontId="4" fillId="0" borderId="0" xfId="0" applyFont="true" applyBorder="false" applyAlignment="true" applyProtection="false">
      <alignment horizontal="left" vertical="center" textRotation="0" wrapText="false" indent="0" shrinkToFit="false"/>
      <protection locked="true" hidden="false"/>
    </xf>
    <xf numFmtId="176" fontId="34" fillId="0" borderId="0" xfId="0" applyFont="true" applyBorder="false" applyAlignment="true" applyProtection="false">
      <alignment horizontal="left" vertical="center" textRotation="0" wrapText="false" indent="0" shrinkToFit="false"/>
      <protection locked="true" hidden="false"/>
    </xf>
    <xf numFmtId="179" fontId="35"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79" fontId="34" fillId="0" borderId="0" xfId="0" applyFont="true" applyBorder="false" applyAlignment="true" applyProtection="false">
      <alignment horizontal="left" vertical="center" textRotation="0" wrapText="false" indent="0" shrinkToFit="false"/>
      <protection locked="true" hidden="false"/>
    </xf>
    <xf numFmtId="178" fontId="34" fillId="0" borderId="0" xfId="0" applyFont="true" applyBorder="false" applyAlignment="true" applyProtection="false">
      <alignment horizontal="left" vertical="center" textRotation="0" wrapText="false" indent="0" shrinkToFit="false"/>
      <protection locked="true" hidden="false"/>
    </xf>
    <xf numFmtId="180" fontId="34" fillId="0" borderId="0" xfId="0" applyFont="true" applyBorder="false" applyAlignment="true" applyProtection="false">
      <alignment horizontal="left" vertical="center" textRotation="0" wrapText="false" indent="0" shrinkToFit="false"/>
      <protection locked="true" hidden="false"/>
    </xf>
    <xf numFmtId="181" fontId="34" fillId="0" borderId="0" xfId="0" applyFont="true" applyBorder="false" applyAlignment="true" applyProtection="false">
      <alignment horizontal="left" vertical="center" textRotation="0" wrapText="false" indent="0" shrinkToFit="false"/>
      <protection locked="true" hidden="false"/>
    </xf>
    <xf numFmtId="164" fontId="46" fillId="2" borderId="1" xfId="0" applyFont="true" applyBorder="true" applyAlignment="true" applyProtection="false">
      <alignment horizontal="center" vertical="center" textRotation="0" wrapText="true" indent="0" shrinkToFit="false"/>
      <protection locked="true" hidden="false"/>
    </xf>
    <xf numFmtId="182" fontId="46" fillId="2" borderId="1" xfId="0" applyFont="true" applyBorder="true" applyAlignment="true" applyProtection="false">
      <alignment horizontal="center" vertical="center" textRotation="0" wrapText="false" indent="0" shrinkToFit="false"/>
      <protection locked="true" hidden="false"/>
    </xf>
    <xf numFmtId="179" fontId="47" fillId="0" borderId="1" xfId="0" applyFont="true" applyBorder="true" applyAlignment="true" applyProtection="false">
      <alignment horizontal="center" vertical="center" textRotation="0" wrapText="false" indent="0" shrinkToFit="false"/>
      <protection locked="true" hidden="false"/>
    </xf>
    <xf numFmtId="183" fontId="27" fillId="0" borderId="1" xfId="0" applyFont="true" applyBorder="true" applyAlignment="true" applyProtection="false">
      <alignment horizontal="right" vertical="center" textRotation="0" wrapText="false" indent="0" shrinkToFit="false"/>
      <protection locked="true" hidden="false"/>
    </xf>
    <xf numFmtId="164" fontId="25" fillId="13"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83" fontId="4" fillId="0" borderId="1" xfId="0" applyFont="true" applyBorder="true" applyAlignment="true" applyProtection="false">
      <alignment horizontal="right" vertical="center" textRotation="0" wrapText="false" indent="0" shrinkToFit="false"/>
      <protection locked="true" hidden="false"/>
    </xf>
    <xf numFmtId="183" fontId="8" fillId="0" borderId="1" xfId="0" applyFont="true" applyBorder="true" applyAlignment="true" applyProtection="false">
      <alignment horizontal="right" vertical="center" textRotation="0" wrapText="false" indent="0" shrinkToFit="false"/>
      <protection locked="true" hidden="false"/>
    </xf>
    <xf numFmtId="176" fontId="20" fillId="0" borderId="1" xfId="0" applyFont="true" applyBorder="true" applyAlignment="true" applyProtection="false">
      <alignment horizontal="right" vertical="center" textRotation="0" wrapText="false" indent="0" shrinkToFit="false"/>
      <protection locked="true" hidden="false"/>
    </xf>
    <xf numFmtId="176" fontId="30" fillId="3" borderId="1" xfId="0" applyFont="true" applyBorder="true" applyAlignment="true" applyProtection="false">
      <alignment horizontal="right" vertical="center" textRotation="0" wrapText="false" indent="0" shrinkToFit="false"/>
      <protection locked="true" hidden="false"/>
    </xf>
    <xf numFmtId="164" fontId="25" fillId="2" borderId="1" xfId="0" applyFont="true" applyBorder="true" applyAlignment="true" applyProtection="false">
      <alignment horizontal="left" vertical="center" textRotation="0" wrapText="false" indent="1" shrinkToFit="false"/>
      <protection locked="true" hidden="false"/>
    </xf>
    <xf numFmtId="176" fontId="25" fillId="2" borderId="1" xfId="0" applyFont="true" applyBorder="true" applyAlignment="true" applyProtection="false">
      <alignment horizontal="right" vertical="center" textRotation="0" wrapText="false" indent="0" shrinkToFit="false"/>
      <protection locked="true" hidden="false"/>
    </xf>
    <xf numFmtId="176" fontId="4" fillId="0" borderId="0" xfId="0" applyFont="true" applyBorder="false" applyAlignment="true" applyProtection="false">
      <alignment horizontal="left" vertical="center" textRotation="0" wrapText="false" indent="0" shrinkToFit="false"/>
      <protection locked="true" hidden="false"/>
    </xf>
    <xf numFmtId="176" fontId="20" fillId="9" borderId="1" xfId="0" applyFont="true" applyBorder="true" applyAlignment="true" applyProtection="false">
      <alignment horizontal="right" vertical="center" textRotation="0" wrapText="false" indent="0" shrinkToFit="false"/>
      <protection locked="true" hidden="false"/>
    </xf>
    <xf numFmtId="164" fontId="9" fillId="11" borderId="1" xfId="0" applyFont="true" applyBorder="true" applyAlignment="true" applyProtection="false">
      <alignment horizontal="left" vertical="center" textRotation="0" wrapText="false" indent="1" shrinkToFit="false"/>
      <protection locked="true" hidden="false"/>
    </xf>
    <xf numFmtId="176" fontId="9" fillId="11"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FFFFFF"/>
        <sz val="20"/>
      </font>
      <fill>
        <patternFill>
          <bgColor rgb="FF548235"/>
        </patternFill>
      </fill>
    </dxf>
    <dxf>
      <font>
        <name val="Arial"/>
        <charset val="1"/>
        <family val="0"/>
        <b val="1"/>
        <color rgb="FFFFFFFF"/>
        <sz val="20"/>
      </font>
      <fill>
        <patternFill>
          <bgColor rgb="FFC00000"/>
        </patternFill>
      </fill>
    </dxf>
    <dxf>
      <font>
        <name val="Arial"/>
        <charset val="1"/>
        <family val="0"/>
        <b val="1"/>
        <color rgb="FFFFFFFF"/>
        <sz val="20"/>
      </font>
      <fill>
        <patternFill>
          <bgColor rgb="FFC65911"/>
        </patternFill>
      </fill>
    </dxf>
    <dxf>
      <font>
        <name val="Arial"/>
        <charset val="1"/>
        <family val="0"/>
        <b val="1"/>
        <color rgb="FFFFFFFF"/>
        <sz val="18"/>
      </font>
      <fill>
        <patternFill>
          <bgColor rgb="FF548235"/>
        </patternFill>
      </fill>
    </dxf>
    <dxf>
      <font>
        <name val="Arial"/>
        <charset val="1"/>
        <family val="0"/>
        <b val="1"/>
        <color rgb="FFFFFFFF"/>
        <sz val="18"/>
      </font>
      <fill>
        <patternFill>
          <bgColor rgb="FFC65911"/>
        </patternFill>
      </fill>
    </dxf>
    <dxf>
      <font>
        <name val="Arial"/>
        <charset val="1"/>
        <family val="0"/>
        <b val="1"/>
        <color rgb="FFFFFFFF"/>
        <sz val="18"/>
      </font>
      <fill>
        <patternFill>
          <bgColor rgb="FFC00000"/>
        </patternFill>
      </fill>
    </dxf>
    <dxf>
      <font>
        <name val="Arial"/>
        <charset val="1"/>
        <family val="0"/>
        <b val="1"/>
        <color rgb="FFFFFFFF"/>
        <sz val="12"/>
      </font>
      <fill>
        <patternFill>
          <bgColor rgb="FF548235"/>
        </patternFill>
      </fill>
    </dxf>
    <dxf>
      <font>
        <name val="Arial"/>
        <charset val="1"/>
        <family val="0"/>
        <b val="1"/>
        <color rgb="FFFFFFFF"/>
        <sz val="12"/>
      </font>
      <fill>
        <patternFill>
          <bgColor rgb="FFC65911"/>
        </patternFill>
      </fill>
    </dxf>
    <dxf>
      <font>
        <name val="Arial"/>
        <charset val="1"/>
        <family val="0"/>
        <b val="1"/>
        <color rgb="FFFFFFFF"/>
        <sz val="12"/>
      </font>
      <fill>
        <patternFill>
          <bgColor rgb="FFC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AB4744"/>
      <rgbColor rgb="FFFAFAFA"/>
      <rgbColor rgb="FFF2F2F2"/>
      <rgbColor rgb="FF660066"/>
      <rgbColor rgb="FFD09493"/>
      <rgbColor rgb="FF0066CC"/>
      <rgbColor rgb="FFD9D9D9"/>
      <rgbColor rgb="FF000080"/>
      <rgbColor rgb="FFFF00FF"/>
      <rgbColor rgb="FFFFFF00"/>
      <rgbColor rgb="FF00FFFF"/>
      <rgbColor rgb="FF800080"/>
      <rgbColor rgb="FF800000"/>
      <rgbColor rgb="FF008080"/>
      <rgbColor rgb="FF0000FF"/>
      <rgbColor rgb="FF00CCFF"/>
      <rgbColor rgb="FFD9E1F2"/>
      <rgbColor rgb="FFFCE4D6"/>
      <rgbColor rgb="FFFCE5CD"/>
      <rgbColor rgb="FF99CCFF"/>
      <rgbColor rgb="FFFF99CC"/>
      <rgbColor rgb="FFCC99FF"/>
      <rgbColor rgb="FFF4CCCC"/>
      <rgbColor rgb="FF4F81BD"/>
      <rgbColor rgb="FF33CCCC"/>
      <rgbColor rgb="FF99CC00"/>
      <rgbColor rgb="FFFFCC00"/>
      <rgbColor rgb="FFFF9900"/>
      <rgbColor rgb="FFC65911"/>
      <rgbColor rgb="FF595959"/>
      <rgbColor rgb="FFB3B3B3"/>
      <rgbColor rgb="FF002060"/>
      <rgbColor rgb="FF339966"/>
      <rgbColor rgb="FF003300"/>
      <rgbColor rgb="FF333300"/>
      <rgbColor rgb="FF843C0C"/>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'Negotiation Waterfall'!G15</c:f>
              <c:strCache>
                <c:ptCount val="1"/>
                <c:pt idx="0">
                  <c:v>base</c:v>
                </c:pt>
              </c:strCache>
            </c:strRef>
          </c:tx>
          <c:spPr>
            <a:no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'Negotiation Waterfall'!$F$16:$F$22</c:f>
              <c:strCache>
                <c:ptCount val="7"/>
                <c:pt idx="0">
                  <c:v>Appraised</c:v>
                </c:pt>
                <c:pt idx="1">
                  <c:v>Constr.</c:v>
                </c:pt>
                <c:pt idx="2">
                  <c:v>Financing</c:v>
                </c:pt>
                <c:pt idx="3">
                  <c:v>Entitlement</c:v>
                </c:pt>
                <c:pt idx="4">
                  <c:v>Insurance</c:v>
                </c:pt>
                <c:pt idx="5">
                  <c:v>Flood</c:v>
                </c:pt>
                <c:pt idx="6">
                  <c:v>Supported</c:v>
                </c:pt>
              </c:strCache>
            </c:strRef>
          </c:cat>
          <c:val>
            <c:numRef>
              <c:f>'Negotiation Waterfall'!$G$16:$G$22</c:f>
              <c:numCache>
                <c:formatCode>\$#,##0;"($"#,##0\)</c:formatCode>
                <c:ptCount val="7"/>
                <c:pt idx="0">
                  <c:v>0</c:v>
                </c:pt>
                <c:pt idx="1">
                  <c:v>10371649.4496814</c:v>
                </c:pt>
                <c:pt idx="2">
                  <c:v>9814675.49943782</c:v>
                </c:pt>
                <c:pt idx="3">
                  <c:v>9386233.99925042</c:v>
                </c:pt>
                <c:pt idx="4">
                  <c:v>9129169.09913798</c:v>
                </c:pt>
                <c:pt idx="5">
                  <c:v>8957792.49906303</c:v>
                </c:pt>
                <c:pt idx="6">
                  <c:v>0</c:v>
                </c:pt>
              </c:numCache>
            </c:numRef>
          </c:val>
        </c:ser>
        <c:ser>
          <c:idx val="1"/>
          <c:order val="1"/>
          <c:tx>
            <c:strRef>
              <c:f>'Negotiation Waterfall'!H15</c:f>
              <c:strCache>
                <c:ptCount val="1"/>
                <c:pt idx="0">
                  <c:v>delta</c:v>
                </c:pt>
              </c:strCache>
            </c:strRef>
          </c:tx>
          <c:spPr>
            <a:solidFill>
              <a:srgbClr val="002060"/>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'Negotiation Waterfall'!$F$16:$F$22</c:f>
              <c:strCache>
                <c:ptCount val="7"/>
                <c:pt idx="0">
                  <c:v>Appraised</c:v>
                </c:pt>
                <c:pt idx="1">
                  <c:v>Constr.</c:v>
                </c:pt>
                <c:pt idx="2">
                  <c:v>Financing</c:v>
                </c:pt>
                <c:pt idx="3">
                  <c:v>Entitlement</c:v>
                </c:pt>
                <c:pt idx="4">
                  <c:v>Insurance</c:v>
                </c:pt>
                <c:pt idx="5">
                  <c:v>Flood</c:v>
                </c:pt>
                <c:pt idx="6">
                  <c:v>Supported</c:v>
                </c:pt>
              </c:strCache>
            </c:strRef>
          </c:cat>
          <c:val>
            <c:numRef>
              <c:f>'Negotiation Waterfall'!$H$16:$H$22</c:f>
              <c:numCache>
                <c:formatCode>\$#,##0;"($"#,##0\)</c:formatCode>
                <c:ptCount val="7"/>
                <c:pt idx="0">
                  <c:v>11100000</c:v>
                </c:pt>
                <c:pt idx="1">
                  <c:v>728350.550318571</c:v>
                </c:pt>
                <c:pt idx="2">
                  <c:v>556973.950243613</c:v>
                </c:pt>
                <c:pt idx="3">
                  <c:v>428441.500187394</c:v>
                </c:pt>
                <c:pt idx="4">
                  <c:v>257064.900112437</c:v>
                </c:pt>
                <c:pt idx="5">
                  <c:v>171376.600074958</c:v>
                </c:pt>
                <c:pt idx="6">
                  <c:v>8957792.49906303</c:v>
                </c:pt>
              </c:numCache>
            </c:numRef>
          </c:val>
        </c:ser>
        <c:gapWidth val="150"/>
        <c:overlap val="100"/>
        <c:axId val="65928099"/>
        <c:axId val="52419347"/>
      </c:barChart>
      <c:catAx>
        <c:axId val="6592809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2419347"/>
        <c:crosses val="autoZero"/>
        <c:auto val="1"/>
        <c:lblAlgn val="ctr"/>
        <c:lblOffset val="100"/>
        <c:noMultiLvlLbl val="0"/>
      </c:catAx>
      <c:valAx>
        <c:axId val="52419347"/>
        <c:scaling>
          <c:orientation val="minMax"/>
        </c:scaling>
        <c:delete val="0"/>
        <c:axPos val="l"/>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59280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'Residual Value Curve'!C9</c:f>
              <c:strCache>
                <c:ptCount val="1"/>
                <c:pt idx="0">
                  <c:v>Residual land value</c:v>
                </c:pt>
              </c:strCache>
            </c:strRef>
          </c:tx>
          <c:spPr>
            <a:solidFill>
              <a:srgbClr val="002060"/>
            </a:solidFill>
            <a:ln w="28080">
              <a:solidFill>
                <a:srgbClr val="00206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'Residual Value Curve'!$B$10:$B$18</c:f>
              <c:strCache>
                <c:ptCount val="9"/>
                <c:pt idx="0">
                  <c:v>10.0%</c:v>
                </c:pt>
                <c:pt idx="1">
                  <c:v>12.5%</c:v>
                </c:pt>
                <c:pt idx="2">
                  <c:v>15.0%</c:v>
                </c:pt>
                <c:pt idx="3">
                  <c:v>17.5%</c:v>
                </c:pt>
                <c:pt idx="4">
                  <c:v>20.0%</c:v>
                </c:pt>
                <c:pt idx="5">
                  <c:v>22.5%</c:v>
                </c:pt>
                <c:pt idx="6">
                  <c:v>25.0%</c:v>
                </c:pt>
                <c:pt idx="7">
                  <c:v>27.5%</c:v>
                </c:pt>
                <c:pt idx="8">
                  <c:v>30.0%</c:v>
                </c:pt>
              </c:strCache>
            </c:strRef>
          </c:cat>
          <c:val>
            <c:numRef>
              <c:f>'Residual Value Curve'!$C$10:$C$18</c:f>
              <c:numCache>
                <c:formatCode>\$#,##0;"($"#,##0\)</c:formatCode>
                <c:ptCount val="9"/>
                <c:pt idx="0">
                  <c:v>16083136.784034</c:v>
                </c:pt>
                <c:pt idx="1">
                  <c:v>13708022.022377</c:v>
                </c:pt>
                <c:pt idx="2">
                  <c:v>11332907.26072</c:v>
                </c:pt>
                <c:pt idx="3">
                  <c:v>8957792.49906303</c:v>
                </c:pt>
                <c:pt idx="4">
                  <c:v>6582677.73740603</c:v>
                </c:pt>
                <c:pt idx="5">
                  <c:v>4207562.97574902</c:v>
                </c:pt>
                <c:pt idx="6">
                  <c:v>1832448.21409203</c:v>
                </c:pt>
                <c:pt idx="7">
                  <c:v>-542666.547564969</c:v>
                </c:pt>
                <c:pt idx="8">
                  <c:v>-2917781.30922198</c:v>
                </c:pt>
              </c:numCache>
            </c:numRef>
          </c:val>
          <c:smooth val="1"/>
        </c:ser>
        <c:ser>
          <c:idx val="1"/>
          <c:order val="1"/>
          <c:tx>
            <c:strRef>
              <c:f>'Residual Value Curve'!D9</c:f>
              <c:strCache>
                <c:ptCount val="1"/>
                <c:pt idx="0">
                  <c:v>Appraisal ($11.1M)</c:v>
                </c:pt>
              </c:strCache>
            </c:strRef>
          </c:tx>
          <c:spPr>
            <a:solidFill>
              <a:srgbClr val="c00000"/>
            </a:solidFill>
            <a:ln w="28440">
              <a:solidFill>
                <a:srgbClr val="c00000"/>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'Residual Value Curve'!$B$10:$B$18</c:f>
              <c:strCache>
                <c:ptCount val="9"/>
                <c:pt idx="0">
                  <c:v>10.0%</c:v>
                </c:pt>
                <c:pt idx="1">
                  <c:v>12.5%</c:v>
                </c:pt>
                <c:pt idx="2">
                  <c:v>15.0%</c:v>
                </c:pt>
                <c:pt idx="3">
                  <c:v>17.5%</c:v>
                </c:pt>
                <c:pt idx="4">
                  <c:v>20.0%</c:v>
                </c:pt>
                <c:pt idx="5">
                  <c:v>22.5%</c:v>
                </c:pt>
                <c:pt idx="6">
                  <c:v>25.0%</c:v>
                </c:pt>
                <c:pt idx="7">
                  <c:v>27.5%</c:v>
                </c:pt>
                <c:pt idx="8">
                  <c:v>30.0%</c:v>
                </c:pt>
              </c:strCache>
            </c:strRef>
          </c:cat>
          <c:val>
            <c:numRef>
              <c:f>'Residual Value Curve'!$D$10:$D$18</c:f>
              <c:numCache>
                <c:formatCode>\$#,##0;"($"#,##0\)</c:formatCode>
                <c:ptCount val="9"/>
                <c:pt idx="0">
                  <c:v>11100000</c:v>
                </c:pt>
                <c:pt idx="1">
                  <c:v>11100000</c:v>
                </c:pt>
                <c:pt idx="2">
                  <c:v>11100000</c:v>
                </c:pt>
                <c:pt idx="3">
                  <c:v>11100000</c:v>
                </c:pt>
                <c:pt idx="4">
                  <c:v>11100000</c:v>
                </c:pt>
                <c:pt idx="5">
                  <c:v>11100000</c:v>
                </c:pt>
                <c:pt idx="6">
                  <c:v>11100000</c:v>
                </c:pt>
                <c:pt idx="7">
                  <c:v>11100000</c:v>
                </c:pt>
                <c:pt idx="8">
                  <c:v>11100000</c:v>
                </c:pt>
              </c:numCache>
            </c:numRef>
          </c:val>
          <c:smooth val="1"/>
        </c:ser>
        <c:hiLowLines>
          <c:spPr>
            <a:ln w="0">
              <a:noFill/>
            </a:ln>
          </c:spPr>
        </c:hiLowLines>
        <c:marker val="0"/>
        <c:axId val="14675646"/>
        <c:axId val="11231806"/>
      </c:lineChart>
      <c:catAx>
        <c:axId val="1467564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Developer profit hurdle</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1231806"/>
        <c:crosses val="autoZero"/>
        <c:auto val="1"/>
        <c:lblAlgn val="ctr"/>
        <c:lblOffset val="100"/>
        <c:noMultiLvlLbl val="0"/>
      </c:catAx>
      <c:valAx>
        <c:axId val="11231806"/>
        <c:scaling>
          <c:orientation val="minMax"/>
        </c:scaling>
        <c:delete val="0"/>
        <c:axPos val="l"/>
        <c:majorGridlines>
          <c:spPr>
            <a:ln w="0">
              <a:solidFill>
                <a:srgbClr val="b3b3b3"/>
              </a:solidFill>
            </a:ln>
          </c:spPr>
        </c:majorGridlines>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6756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Appraisal vs Developer-Supported Value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numFmt formatCode="\$#,##0;&quot;($&quot;#,##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'Land Value Reality Check'!$B$14:$B$15</c:f>
              <c:strCache>
                <c:ptCount val="2"/>
                <c:pt idx="0">
                  <c:v>Appraised</c:v>
                </c:pt>
                <c:pt idx="1">
                  <c:v>Supported</c:v>
                </c:pt>
              </c:strCache>
            </c:strRef>
          </c:cat>
          <c:val>
            <c:numRef>
              <c:f>'Land Value Reality Check'!$C$14:$C$15</c:f>
              <c:numCache>
                <c:formatCode>\$#,##0;"($"#,##0\);\-</c:formatCode>
                <c:ptCount val="2"/>
                <c:pt idx="0">
                  <c:v>11100000</c:v>
                </c:pt>
                <c:pt idx="1">
                  <c:v>8957792.49906303</c:v>
                </c:pt>
              </c:numCache>
            </c:numRef>
          </c:val>
        </c:ser>
        <c:gapWidth val="150"/>
        <c:overlap val="0"/>
        <c:axId val="71539330"/>
        <c:axId val="59606023"/>
      </c:barChart>
      <c:catAx>
        <c:axId val="7153933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9606023"/>
        <c:crosses val="autoZero"/>
        <c:auto val="1"/>
        <c:lblAlgn val="ctr"/>
        <c:lblOffset val="100"/>
        <c:noMultiLvlLbl val="0"/>
      </c:catAx>
      <c:valAx>
        <c:axId val="5960602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Value</a:t>
                </a:r>
              </a:p>
            </c:rich>
          </c:tx>
          <c:overlay val="0"/>
          <c:spPr>
            <a:noFill/>
            <a:ln w="0">
              <a:noFill/>
            </a:ln>
          </c:spPr>
        </c:title>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5393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Negotiation Waterfall — Appraised to Supported</a:t>
            </a:r>
          </a:p>
        </c:rich>
      </c:tx>
      <c:overlay val="0"/>
      <c:spPr>
        <a:noFill/>
        <a:ln w="0">
          <a:noFill/>
        </a:ln>
      </c:spPr>
    </c:title>
    <c:autoTitleDeleted val="0"/>
    <c:plotArea>
      <c:barChart>
        <c:barDir val="col"/>
        <c:grouping val="stacked"/>
        <c:varyColors val="0"/>
        <c:ser>
          <c:idx val="0"/>
          <c:order val="0"/>
          <c:tx>
            <c:strRef>
              <c:f>'Negotiation Waterfall'!G15</c:f>
              <c:strCache>
                <c:ptCount val="1"/>
                <c:pt idx="0">
                  <c:v>base</c:v>
                </c:pt>
              </c:strCache>
            </c:strRef>
          </c:tx>
          <c:spPr>
            <a:noFill/>
            <a:ln w="0">
              <a:solidFill>
                <a:srgbClr val="000000"/>
              </a:solidFill>
            </a:ln>
          </c:spPr>
          <c:invertIfNegative val="0"/>
          <c:dLbls>
            <c:numFmt formatCode="\$#,##0;&quot;($&quot;#,##0\)" sourceLinked="1"/>
            <c:txPr>
              <a:bodyPr wrap="square"/>
              <a:lstStyle/>
              <a:p>
                <a:pPr>
                  <a:defRPr b="0" sz="1000" spc="-1" strike="noStrike">
                    <a:solidFill>
                      <a:srgbClr val="000000"/>
                    </a:solidFill>
                    <a:latin typeface="Calibri"/>
                  </a:defRPr>
                </a:pPr>
              </a:p>
            </c:txPr>
            <c:dLblPos val="ctr"/>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'Negotiation Waterfall'!$F$16:$F$22</c:f>
              <c:strCache>
                <c:ptCount val="7"/>
                <c:pt idx="0">
                  <c:v>Appraised</c:v>
                </c:pt>
                <c:pt idx="1">
                  <c:v>Constr.</c:v>
                </c:pt>
                <c:pt idx="2">
                  <c:v>Financing</c:v>
                </c:pt>
                <c:pt idx="3">
                  <c:v>Entitlement</c:v>
                </c:pt>
                <c:pt idx="4">
                  <c:v>Insurance</c:v>
                </c:pt>
                <c:pt idx="5">
                  <c:v>Flood</c:v>
                </c:pt>
                <c:pt idx="6">
                  <c:v>Supported</c:v>
                </c:pt>
              </c:strCache>
            </c:strRef>
          </c:cat>
          <c:val>
            <c:numRef>
              <c:f>'Negotiation Waterfall'!$G$16:$G$22</c:f>
              <c:numCache>
                <c:formatCode>\$#,##0;"($"#,##0\)</c:formatCode>
                <c:ptCount val="7"/>
                <c:pt idx="0">
                  <c:v>0</c:v>
                </c:pt>
                <c:pt idx="1">
                  <c:v>10371649.4496814</c:v>
                </c:pt>
                <c:pt idx="2">
                  <c:v>9814675.49943782</c:v>
                </c:pt>
                <c:pt idx="3">
                  <c:v>9386233.99925042</c:v>
                </c:pt>
                <c:pt idx="4">
                  <c:v>9129169.09913798</c:v>
                </c:pt>
                <c:pt idx="5">
                  <c:v>8957792.49906303</c:v>
                </c:pt>
                <c:pt idx="6">
                  <c:v>0</c:v>
                </c:pt>
              </c:numCache>
            </c:numRef>
          </c:val>
        </c:ser>
        <c:ser>
          <c:idx val="1"/>
          <c:order val="1"/>
          <c:tx>
            <c:strRef>
              <c:f>'Negotiation Waterfall'!H15</c:f>
              <c:strCache>
                <c:ptCount val="1"/>
                <c:pt idx="0">
                  <c:v>delta</c:v>
                </c:pt>
              </c:strCache>
            </c:strRef>
          </c:tx>
          <c:spPr>
            <a:solidFill>
              <a:srgbClr val="002060"/>
            </a:solidFill>
            <a:ln w="0">
              <a:solidFill>
                <a:srgbClr val="000000"/>
              </a:solidFill>
            </a:ln>
          </c:spPr>
          <c:invertIfNegative val="0"/>
          <c:dLbls>
            <c:numFmt formatCode="\$#,##0;&quot;($&quot;#,##0\)" sourceLinked="1"/>
            <c:txPr>
              <a:bodyPr wrap="square"/>
              <a:lstStyle/>
              <a:p>
                <a:pPr>
                  <a:defRPr b="0" sz="1000" spc="-1" strike="noStrike">
                    <a:solidFill>
                      <a:srgbClr val="000000"/>
                    </a:solidFill>
                    <a:latin typeface="Calibri"/>
                  </a:defRPr>
                </a:pPr>
              </a:p>
            </c:txPr>
            <c:dLblPos val="ctr"/>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'Negotiation Waterfall'!$F$16:$F$22</c:f>
              <c:strCache>
                <c:ptCount val="7"/>
                <c:pt idx="0">
                  <c:v>Appraised</c:v>
                </c:pt>
                <c:pt idx="1">
                  <c:v>Constr.</c:v>
                </c:pt>
                <c:pt idx="2">
                  <c:v>Financing</c:v>
                </c:pt>
                <c:pt idx="3">
                  <c:v>Entitlement</c:v>
                </c:pt>
                <c:pt idx="4">
                  <c:v>Insurance</c:v>
                </c:pt>
                <c:pt idx="5">
                  <c:v>Flood</c:v>
                </c:pt>
                <c:pt idx="6">
                  <c:v>Supported</c:v>
                </c:pt>
              </c:strCache>
            </c:strRef>
          </c:cat>
          <c:val>
            <c:numRef>
              <c:f>'Negotiation Waterfall'!$H$16:$H$22</c:f>
              <c:numCache>
                <c:formatCode>\$#,##0;"($"#,##0\)</c:formatCode>
                <c:ptCount val="7"/>
                <c:pt idx="0">
                  <c:v>11100000</c:v>
                </c:pt>
                <c:pt idx="1">
                  <c:v>728350.550318571</c:v>
                </c:pt>
                <c:pt idx="2">
                  <c:v>556973.950243613</c:v>
                </c:pt>
                <c:pt idx="3">
                  <c:v>428441.500187394</c:v>
                </c:pt>
                <c:pt idx="4">
                  <c:v>257064.900112437</c:v>
                </c:pt>
                <c:pt idx="5">
                  <c:v>171376.600074958</c:v>
                </c:pt>
                <c:pt idx="6">
                  <c:v>8957792.49906303</c:v>
                </c:pt>
              </c:numCache>
            </c:numRef>
          </c:val>
        </c:ser>
        <c:gapWidth val="150"/>
        <c:overlap val="100"/>
        <c:axId val="40593658"/>
        <c:axId val="6936552"/>
      </c:barChart>
      <c:catAx>
        <c:axId val="4059365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36552"/>
        <c:crosses val="autoZero"/>
        <c:auto val="1"/>
        <c:lblAlgn val="ctr"/>
        <c:lblOffset val="100"/>
        <c:noMultiLvlLbl val="0"/>
      </c:catAx>
      <c:valAx>
        <c:axId val="6936552"/>
        <c:scaling>
          <c:orientation val="minMax"/>
        </c:scaling>
        <c:delete val="0"/>
        <c:axPos val="l"/>
        <c:majorGridlines>
          <c:spPr>
            <a:ln w="0">
              <a:solidFill>
                <a:srgbClr val="b3b3b3"/>
              </a:solidFill>
            </a:ln>
          </c:spPr>
        </c:majorGridlines>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05936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Buildable Area by FAR Scenario</a:t>
            </a:r>
          </a:p>
        </c:rich>
      </c:tx>
      <c:overlay val="0"/>
      <c:spPr>
        <a:noFill/>
        <a:ln w="0">
          <a:noFill/>
        </a:ln>
      </c:spPr>
    </c:title>
    <c:autoTitleDeleted val="0"/>
    <c:plotArea>
      <c:barChart>
        <c:barDir val="col"/>
        <c:grouping val="clustered"/>
        <c:varyColors val="0"/>
        <c:ser>
          <c:idx val="0"/>
          <c:order val="0"/>
          <c:tx>
            <c:strRef>
              <c:f>'Buildable Area'!C12</c:f>
              <c:strCache>
                <c:ptCount val="1"/>
                <c:pt idx="0">
                  <c:v>Gross BA</c:v>
                </c:pt>
              </c:strCache>
            </c:strRef>
          </c:tx>
          <c:spPr>
            <a:solidFill>
              <a:srgbClr val="ab4744"/>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'Buildable Area'!$B$13:$B$15</c:f>
              <c:strCache>
                <c:ptCount val="3"/>
                <c:pt idx="0">
                  <c:v>FAR 4.0</c:v>
                </c:pt>
                <c:pt idx="1">
                  <c:v>FAR 6.0</c:v>
                </c:pt>
                <c:pt idx="2">
                  <c:v>FAR 8.0</c:v>
                </c:pt>
              </c:strCache>
            </c:strRef>
          </c:cat>
          <c:val>
            <c:numRef>
              <c:f>'Buildable Area'!$C$13:$C$15</c:f>
              <c:numCache>
                <c:formatCode>#,##0;\(#,##0\)</c:formatCode>
                <c:ptCount val="3"/>
                <c:pt idx="0">
                  <c:v>152828</c:v>
                </c:pt>
                <c:pt idx="1">
                  <c:v>229242</c:v>
                </c:pt>
                <c:pt idx="2">
                  <c:v>305656</c:v>
                </c:pt>
              </c:numCache>
            </c:numRef>
          </c:val>
        </c:ser>
        <c:ser>
          <c:idx val="1"/>
          <c:order val="1"/>
          <c:tx>
            <c:strRef>
              <c:f>'Buildable Area'!D12</c:f>
              <c:strCache>
                <c:ptCount val="1"/>
                <c:pt idx="0">
                  <c:v>Net Rentable</c:v>
                </c:pt>
              </c:strCache>
            </c:strRef>
          </c:tx>
          <c:spPr>
            <a:solidFill>
              <a:srgbClr val="d09493"/>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'Buildable Area'!$B$13:$B$15</c:f>
              <c:strCache>
                <c:ptCount val="3"/>
                <c:pt idx="0">
                  <c:v>FAR 4.0</c:v>
                </c:pt>
                <c:pt idx="1">
                  <c:v>FAR 6.0</c:v>
                </c:pt>
                <c:pt idx="2">
                  <c:v>FAR 8.0</c:v>
                </c:pt>
              </c:strCache>
            </c:strRef>
          </c:cat>
          <c:val>
            <c:numRef>
              <c:f>'Buildable Area'!$D$13:$D$15</c:f>
              <c:numCache>
                <c:formatCode>#,##0;\(#,##0\)</c:formatCode>
                <c:ptCount val="3"/>
                <c:pt idx="0">
                  <c:v>124552.08</c:v>
                </c:pt>
                <c:pt idx="1">
                  <c:v>190268.12</c:v>
                </c:pt>
                <c:pt idx="2">
                  <c:v>255984.16</c:v>
                </c:pt>
              </c:numCache>
            </c:numRef>
          </c:val>
        </c:ser>
        <c:gapWidth val="150"/>
        <c:overlap val="0"/>
        <c:axId val="83456950"/>
        <c:axId val="74662367"/>
      </c:barChart>
      <c:catAx>
        <c:axId val="8345695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4662367"/>
        <c:crosses val="autoZero"/>
        <c:auto val="1"/>
        <c:lblAlgn val="ctr"/>
        <c:lblOffset val="100"/>
        <c:noMultiLvlLbl val="0"/>
      </c:catAx>
      <c:valAx>
        <c:axId val="7466236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SF</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45695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Residual Land Value vs Developer Profit Hurdle</a:t>
            </a:r>
          </a:p>
        </c:rich>
      </c:tx>
      <c:overlay val="0"/>
      <c:spPr>
        <a:noFill/>
        <a:ln w="0">
          <a:noFill/>
        </a:ln>
      </c:spPr>
    </c:title>
    <c:autoTitleDeleted val="0"/>
    <c:plotArea>
      <c:lineChart>
        <c:grouping val="standard"/>
        <c:varyColors val="0"/>
        <c:ser>
          <c:idx val="0"/>
          <c:order val="0"/>
          <c:tx>
            <c:strRef>
              <c:f>'Residual Value Curve'!C9</c:f>
              <c:strCache>
                <c:ptCount val="1"/>
                <c:pt idx="0">
                  <c:v>Residual land value</c:v>
                </c:pt>
              </c:strCache>
            </c:strRef>
          </c:tx>
          <c:spPr>
            <a:solidFill>
              <a:srgbClr val="002060"/>
            </a:solidFill>
            <a:ln w="28080">
              <a:solidFill>
                <a:srgbClr val="00206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'Residual Value Curve'!$B$10:$B$18</c:f>
              <c:strCache>
                <c:ptCount val="9"/>
                <c:pt idx="0">
                  <c:v>10.0%</c:v>
                </c:pt>
                <c:pt idx="1">
                  <c:v>12.5%</c:v>
                </c:pt>
                <c:pt idx="2">
                  <c:v>15.0%</c:v>
                </c:pt>
                <c:pt idx="3">
                  <c:v>17.5%</c:v>
                </c:pt>
                <c:pt idx="4">
                  <c:v>20.0%</c:v>
                </c:pt>
                <c:pt idx="5">
                  <c:v>22.5%</c:v>
                </c:pt>
                <c:pt idx="6">
                  <c:v>25.0%</c:v>
                </c:pt>
                <c:pt idx="7">
                  <c:v>27.5%</c:v>
                </c:pt>
                <c:pt idx="8">
                  <c:v>30.0%</c:v>
                </c:pt>
              </c:strCache>
            </c:strRef>
          </c:cat>
          <c:val>
            <c:numRef>
              <c:f>'Residual Value Curve'!$C$10:$C$18</c:f>
              <c:numCache>
                <c:formatCode>\$#,##0;"($"#,##0\)</c:formatCode>
                <c:ptCount val="9"/>
                <c:pt idx="0">
                  <c:v>16083136.784034</c:v>
                </c:pt>
                <c:pt idx="1">
                  <c:v>13708022.022377</c:v>
                </c:pt>
                <c:pt idx="2">
                  <c:v>11332907.26072</c:v>
                </c:pt>
                <c:pt idx="3">
                  <c:v>8957792.49906303</c:v>
                </c:pt>
                <c:pt idx="4">
                  <c:v>6582677.73740603</c:v>
                </c:pt>
                <c:pt idx="5">
                  <c:v>4207562.97574902</c:v>
                </c:pt>
                <c:pt idx="6">
                  <c:v>1832448.21409203</c:v>
                </c:pt>
                <c:pt idx="7">
                  <c:v>-542666.547564969</c:v>
                </c:pt>
                <c:pt idx="8">
                  <c:v>-2917781.30922198</c:v>
                </c:pt>
              </c:numCache>
            </c:numRef>
          </c:val>
          <c:smooth val="1"/>
        </c:ser>
        <c:ser>
          <c:idx val="1"/>
          <c:order val="1"/>
          <c:tx>
            <c:strRef>
              <c:f>'Residual Value Curve'!D9</c:f>
              <c:strCache>
                <c:ptCount val="1"/>
                <c:pt idx="0">
                  <c:v>Appraisal ($11.1M)</c:v>
                </c:pt>
              </c:strCache>
            </c:strRef>
          </c:tx>
          <c:spPr>
            <a:solidFill>
              <a:srgbClr val="c00000"/>
            </a:solidFill>
            <a:ln w="28440">
              <a:solidFill>
                <a:srgbClr val="c00000"/>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'Residual Value Curve'!$B$10:$B$18</c:f>
              <c:strCache>
                <c:ptCount val="9"/>
                <c:pt idx="0">
                  <c:v>10.0%</c:v>
                </c:pt>
                <c:pt idx="1">
                  <c:v>12.5%</c:v>
                </c:pt>
                <c:pt idx="2">
                  <c:v>15.0%</c:v>
                </c:pt>
                <c:pt idx="3">
                  <c:v>17.5%</c:v>
                </c:pt>
                <c:pt idx="4">
                  <c:v>20.0%</c:v>
                </c:pt>
                <c:pt idx="5">
                  <c:v>22.5%</c:v>
                </c:pt>
                <c:pt idx="6">
                  <c:v>25.0%</c:v>
                </c:pt>
                <c:pt idx="7">
                  <c:v>27.5%</c:v>
                </c:pt>
                <c:pt idx="8">
                  <c:v>30.0%</c:v>
                </c:pt>
              </c:strCache>
            </c:strRef>
          </c:cat>
          <c:val>
            <c:numRef>
              <c:f>'Residual Value Curve'!$D$10:$D$18</c:f>
              <c:numCache>
                <c:formatCode>\$#,##0;"($"#,##0\)</c:formatCode>
                <c:ptCount val="9"/>
                <c:pt idx="0">
                  <c:v>11100000</c:v>
                </c:pt>
                <c:pt idx="1">
                  <c:v>11100000</c:v>
                </c:pt>
                <c:pt idx="2">
                  <c:v>11100000</c:v>
                </c:pt>
                <c:pt idx="3">
                  <c:v>11100000</c:v>
                </c:pt>
                <c:pt idx="4">
                  <c:v>11100000</c:v>
                </c:pt>
                <c:pt idx="5">
                  <c:v>11100000</c:v>
                </c:pt>
                <c:pt idx="6">
                  <c:v>11100000</c:v>
                </c:pt>
                <c:pt idx="7">
                  <c:v>11100000</c:v>
                </c:pt>
                <c:pt idx="8">
                  <c:v>11100000</c:v>
                </c:pt>
              </c:numCache>
            </c:numRef>
          </c:val>
          <c:smooth val="1"/>
        </c:ser>
        <c:hiLowLines>
          <c:spPr>
            <a:ln w="0">
              <a:noFill/>
            </a:ln>
          </c:spPr>
        </c:hiLowLines>
        <c:marker val="0"/>
        <c:axId val="99862245"/>
        <c:axId val="35966647"/>
      </c:lineChart>
      <c:catAx>
        <c:axId val="9986224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Developer profit hurdle (on cost)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966647"/>
        <c:crosses val="autoZero"/>
        <c:auto val="1"/>
        <c:lblAlgn val="ctr"/>
        <c:lblOffset val="100"/>
        <c:noMultiLvlLbl val="0"/>
      </c:catAx>
      <c:valAx>
        <c:axId val="3596664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Residual land value</a:t>
                </a:r>
              </a:p>
            </c:rich>
          </c:tx>
          <c:overlay val="0"/>
          <c:spPr>
            <a:noFill/>
            <a:ln w="0">
              <a:noFill/>
            </a:ln>
          </c:spPr>
        </c:title>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8622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Residual Value Sensitivity (Swing by Driver)</a:t>
            </a:r>
          </a:p>
        </c:rich>
      </c:tx>
      <c:overlay val="0"/>
      <c:spPr>
        <a:noFill/>
        <a:ln w="0">
          <a:noFill/>
        </a:ln>
      </c:spPr>
    </c:title>
    <c:autoTitleDeleted val="0"/>
    <c:plotArea>
      <c:barChart>
        <c:barDir val="bar"/>
        <c:grouping val="clustered"/>
        <c:varyColors val="0"/>
        <c:ser>
          <c:idx val="0"/>
          <c:order val="0"/>
          <c:tx>
            <c:strRef>
              <c:f>'Tornado Sensitivity'!E12</c:f>
              <c:strCache>
                <c:ptCount val="1"/>
                <c:pt idx="0">
                  <c:v>Swing</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'Tornado Sensitivity'!$B$13:$B$19</c:f>
              <c:strCache>
                <c:ptCount val="7"/>
                <c:pt idx="0">
                  <c:v>Exit cap rate</c:v>
                </c:pt>
                <c:pt idx="1">
                  <c:v>Construction cost ($/SF)</c:v>
                </c:pt>
                <c:pt idx="2">
                  <c:v>Residential rent</c:v>
                </c:pt>
                <c:pt idx="3">
                  <c:v>Developer profit hurdle</c:v>
                </c:pt>
                <c:pt idx="4">
                  <c:v>Interest rate</c:v>
                </c:pt>
                <c:pt idx="5">
                  <c:v>Vacancy / opex (EGI)</c:v>
                </c:pt>
                <c:pt idx="6">
                  <c:v>Efficiency (NRA)</c:v>
                </c:pt>
              </c:strCache>
            </c:strRef>
          </c:cat>
          <c:val>
            <c:numRef>
              <c:f>'Tornado Sensitivity'!$E$13:$E$19</c:f>
              <c:numCache>
                <c:formatCode>\$#,##0.0,,\M</c:formatCode>
                <c:ptCount val="7"/>
                <c:pt idx="0">
                  <c:v>10066437.5350169</c:v>
                </c:pt>
                <c:pt idx="1">
                  <c:v>7600566.65081999</c:v>
                </c:pt>
                <c:pt idx="2">
                  <c:v>9254442.20418394</c:v>
                </c:pt>
                <c:pt idx="3">
                  <c:v>4750229.523314</c:v>
                </c:pt>
                <c:pt idx="4">
                  <c:v>789837.691966131</c:v>
                </c:pt>
                <c:pt idx="5">
                  <c:v>9659128.81477386</c:v>
                </c:pt>
                <c:pt idx="6">
                  <c:v>2804376.42551029</c:v>
                </c:pt>
              </c:numCache>
            </c:numRef>
          </c:val>
        </c:ser>
        <c:gapWidth val="150"/>
        <c:overlap val="0"/>
        <c:axId val="84304560"/>
        <c:axId val="47360220"/>
      </c:barChart>
      <c:catAx>
        <c:axId val="84304560"/>
        <c:scaling>
          <c:orientation val="minMax"/>
        </c:scaling>
        <c:delete val="0"/>
        <c:axPos val="b"/>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7360220"/>
        <c:crosses val="autoZero"/>
        <c:auto val="1"/>
        <c:lblAlgn val="ctr"/>
        <c:lblOffset val="100"/>
        <c:noMultiLvlLbl val="0"/>
      </c:catAx>
      <c:valAx>
        <c:axId val="47360220"/>
        <c:scaling>
          <c:orientation val="minMax"/>
        </c:scaling>
        <c:delete val="0"/>
        <c:axPos val="l"/>
        <c:majorGridlines>
          <c:spPr>
            <a:ln w="0">
              <a:solidFill>
                <a:srgbClr val="b3b3b3"/>
              </a:solidFill>
            </a:ln>
          </c:spPr>
        </c:majorGridlines>
        <c:numFmt formatCode="\$#,##0.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3045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Supported Land Value by Use vs Appraisal</a:t>
            </a:r>
          </a:p>
        </c:rich>
      </c:tx>
      <c:overlay val="0"/>
      <c:spPr>
        <a:noFill/>
        <a:ln w="0">
          <a:noFill/>
        </a:ln>
      </c:spPr>
    </c:title>
    <c:autoTitleDeleted val="0"/>
    <c:plotArea>
      <c:barChart>
        <c:barDir val="col"/>
        <c:grouping val="clustered"/>
        <c:varyColors val="0"/>
        <c:ser>
          <c:idx val="0"/>
          <c:order val="0"/>
          <c:spPr>
            <a:solidFill>
              <a:srgbClr val="4f81bd"/>
            </a:solidFill>
            <a:ln w="0">
              <a:solidFill>
                <a:srgbClr val="000000"/>
              </a:solidFill>
            </a:ln>
          </c:spPr>
          <c:invertIfNegative val="0"/>
          <c:dLbls>
            <c:numFmt formatCode="\$#,##0;&quot;($&quot;#,##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'Mobility Hub Economics'!$E$11:$E$13</c:f>
              <c:strCache>
                <c:ptCount val="3"/>
                <c:pt idx="0">
                  <c:v>Hub</c:v>
                </c:pt>
                <c:pt idx="1">
                  <c:v>Multifamily</c:v>
                </c:pt>
                <c:pt idx="2">
                  <c:v>Appraised</c:v>
                </c:pt>
              </c:strCache>
            </c:strRef>
          </c:cat>
          <c:val>
            <c:numRef>
              <c:f>'Mobility Hub Economics'!$F$11:$F$13</c:f>
              <c:numCache>
                <c:formatCode>\$#,##0;"($"#,##0\)</c:formatCode>
                <c:ptCount val="3"/>
                <c:pt idx="0">
                  <c:v>813500</c:v>
                </c:pt>
                <c:pt idx="1">
                  <c:v>8957792.49906303</c:v>
                </c:pt>
                <c:pt idx="2">
                  <c:v>11100000</c:v>
                </c:pt>
              </c:numCache>
            </c:numRef>
          </c:val>
        </c:ser>
        <c:gapWidth val="150"/>
        <c:overlap val="0"/>
        <c:axId val="49048531"/>
        <c:axId val="95552441"/>
      </c:barChart>
      <c:catAx>
        <c:axId val="4904853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552441"/>
        <c:crosses val="autoZero"/>
        <c:auto val="1"/>
        <c:lblAlgn val="ctr"/>
        <c:lblOffset val="100"/>
        <c:noMultiLvlLbl val="0"/>
      </c:catAx>
      <c:valAx>
        <c:axId val="95552441"/>
        <c:scaling>
          <c:orientation val="minMax"/>
        </c:scaling>
        <c:delete val="0"/>
        <c:axPos val="l"/>
        <c:majorGridlines>
          <c:spPr>
            <a:ln w="0">
              <a:solidFill>
                <a:srgbClr val="b3b3b3"/>
              </a:solidFill>
            </a:ln>
          </c:spPr>
        </c:majorGridlines>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90485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_rels/drawing6.xml.rels><?xml version="1.0" encoding="UTF-8"?>
<Relationships xmlns="http://schemas.openxmlformats.org/package/2006/relationships"><Relationship Id="rId1" Type="http://schemas.openxmlformats.org/officeDocument/2006/relationships/chart" Target="../charts/chart7.xml"/>
</Relationships>
</file>

<file path=xl/drawings/_rels/drawing7.xml.rels><?xml version="1.0" encoding="UTF-8"?>
<Relationships xmlns="http://schemas.openxmlformats.org/package/2006/relationships"><Relationship Id="rId1"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9</xdr:col>
      <xdr:colOff>44640</xdr:colOff>
      <xdr:row>28</xdr:row>
      <xdr:rowOff>122760</xdr:rowOff>
    </xdr:to>
    <xdr:graphicFrame>
      <xdr:nvGraphicFramePr>
        <xdr:cNvPr id="0" name="Chart 1"/>
        <xdr:cNvGraphicFramePr/>
      </xdr:nvGraphicFramePr>
      <xdr:xfrm>
        <a:off x="176400" y="3467160"/>
        <a:ext cx="7199280" cy="17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29</xdr:row>
      <xdr:rowOff>0</xdr:rowOff>
    </xdr:from>
    <xdr:to>
      <xdr:col>9</xdr:col>
      <xdr:colOff>44640</xdr:colOff>
      <xdr:row>40</xdr:row>
      <xdr:rowOff>123120</xdr:rowOff>
    </xdr:to>
    <xdr:graphicFrame>
      <xdr:nvGraphicFramePr>
        <xdr:cNvPr id="1" name="Chart 2"/>
        <xdr:cNvGraphicFramePr/>
      </xdr:nvGraphicFramePr>
      <xdr:xfrm>
        <a:off x="176400" y="5372280"/>
        <a:ext cx="7199280" cy="179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11</xdr:col>
      <xdr:colOff>459360</xdr:colOff>
      <xdr:row>18</xdr:row>
      <xdr:rowOff>19800</xdr:rowOff>
    </xdr:to>
    <xdr:graphicFrame>
      <xdr:nvGraphicFramePr>
        <xdr:cNvPr id="2" name="Chart 1"/>
        <xdr:cNvGraphicFramePr/>
      </xdr:nvGraphicFramePr>
      <xdr:xfrm>
        <a:off x="5427360" y="743040"/>
        <a:ext cx="5397120" cy="287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7</xdr:col>
      <xdr:colOff>194400</xdr:colOff>
      <xdr:row>40</xdr:row>
      <xdr:rowOff>189360</xdr:rowOff>
    </xdr:to>
    <xdr:graphicFrame>
      <xdr:nvGraphicFramePr>
        <xdr:cNvPr id="3" name="Chart 1"/>
        <xdr:cNvGraphicFramePr/>
      </xdr:nvGraphicFramePr>
      <xdr:xfrm>
        <a:off x="211320" y="4743360"/>
        <a:ext cx="7197480" cy="323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190440</xdr:rowOff>
    </xdr:from>
    <xdr:to>
      <xdr:col>13</xdr:col>
      <xdr:colOff>348840</xdr:colOff>
      <xdr:row>20</xdr:row>
      <xdr:rowOff>76680</xdr:rowOff>
    </xdr:to>
    <xdr:graphicFrame>
      <xdr:nvGraphicFramePr>
        <xdr:cNvPr id="4" name="Chart 1"/>
        <xdr:cNvGraphicFramePr/>
      </xdr:nvGraphicFramePr>
      <xdr:xfrm>
        <a:off x="5709240" y="933480"/>
        <a:ext cx="5757120" cy="3229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0</xdr:rowOff>
    </xdr:from>
    <xdr:to>
      <xdr:col>12</xdr:col>
      <xdr:colOff>240840</xdr:colOff>
      <xdr:row>21</xdr:row>
      <xdr:rowOff>168840</xdr:rowOff>
    </xdr:to>
    <xdr:graphicFrame>
      <xdr:nvGraphicFramePr>
        <xdr:cNvPr id="5" name="Chart 1"/>
        <xdr:cNvGraphicFramePr/>
      </xdr:nvGraphicFramePr>
      <xdr:xfrm>
        <a:off x="4299480" y="743040"/>
        <a:ext cx="7197840" cy="359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16</xdr:col>
      <xdr:colOff>363600</xdr:colOff>
      <xdr:row>21</xdr:row>
      <xdr:rowOff>169560</xdr:rowOff>
    </xdr:to>
    <xdr:graphicFrame>
      <xdr:nvGraphicFramePr>
        <xdr:cNvPr id="6" name="Chart 1"/>
        <xdr:cNvGraphicFramePr/>
      </xdr:nvGraphicFramePr>
      <xdr:xfrm>
        <a:off x="6414120" y="743040"/>
        <a:ext cx="6478560" cy="359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14</xdr:row>
      <xdr:rowOff>0</xdr:rowOff>
    </xdr:from>
    <xdr:to>
      <xdr:col>8</xdr:col>
      <xdr:colOff>72360</xdr:colOff>
      <xdr:row>29</xdr:row>
      <xdr:rowOff>21240</xdr:rowOff>
    </xdr:to>
    <xdr:graphicFrame>
      <xdr:nvGraphicFramePr>
        <xdr:cNvPr id="7" name="Chart 1"/>
        <xdr:cNvGraphicFramePr/>
      </xdr:nvGraphicFramePr>
      <xdr:xfrm>
        <a:off x="4158720" y="2838600"/>
        <a:ext cx="4678560" cy="287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4.xml.rels><?xml version="1.0" encoding="UTF-8"?>
<Relationships xmlns="http://schemas.openxmlformats.org/package/2006/relationships"><Relationship Id="rId1" Type="http://schemas.openxmlformats.org/officeDocument/2006/relationships/drawing" Target="../drawings/drawing6.xml"/>
</Relationships>
</file>

<file path=xl/worksheets/_rels/sheet15.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1:G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7" min="3" style="1" width="20"/>
    <col collapsed="false" customWidth="true" hidden="false" outlineLevel="0" max="8" min="8" style="1" width="2"/>
  </cols>
  <sheetData>
    <row r="1" customFormat="false" ht="15.75" hidden="false" customHeight="true" outlineLevel="0" collapsed="false"/>
    <row r="2" customFormat="false" ht="6" hidden="false" customHeight="true" outlineLevel="0" collapsed="false">
      <c r="B2" s="2"/>
      <c r="C2" s="2"/>
      <c r="D2" s="2"/>
      <c r="E2" s="2"/>
      <c r="F2" s="2"/>
      <c r="G2" s="2"/>
    </row>
    <row r="3" customFormat="false" ht="15.75" hidden="false" customHeight="true" outlineLevel="0" collapsed="false"/>
    <row r="4" customFormat="false" ht="15.75" hidden="false" customHeight="true" outlineLevel="0" collapsed="false">
      <c r="B4" s="3" t="s">
        <v>0</v>
      </c>
      <c r="C4" s="3"/>
      <c r="D4" s="3"/>
      <c r="E4" s="3"/>
      <c r="F4" s="3"/>
      <c r="G4" s="3"/>
    </row>
    <row r="5" customFormat="false" ht="15.75" hidden="false" customHeight="true" outlineLevel="0" collapsed="false">
      <c r="B5" s="3"/>
      <c r="C5" s="3"/>
      <c r="D5" s="3"/>
      <c r="E5" s="3"/>
      <c r="F5" s="3"/>
      <c r="G5" s="3"/>
    </row>
    <row r="6" customFormat="false" ht="15.75" hidden="false" customHeight="true" outlineLevel="0" collapsed="false">
      <c r="B6" s="3"/>
      <c r="C6" s="3"/>
      <c r="D6" s="3"/>
      <c r="E6" s="3"/>
      <c r="F6" s="3"/>
      <c r="G6" s="3"/>
    </row>
    <row r="7" customFormat="false" ht="15.75" hidden="false" customHeight="true" outlineLevel="0" collapsed="false">
      <c r="B7" s="4" t="s">
        <v>1</v>
      </c>
      <c r="C7" s="4"/>
      <c r="D7" s="4"/>
      <c r="E7" s="4"/>
      <c r="F7" s="4"/>
      <c r="G7" s="4"/>
    </row>
    <row r="8" customFormat="false" ht="15.75" hidden="false" customHeight="true" outlineLevel="0" collapsed="false">
      <c r="B8" s="4"/>
      <c r="C8" s="4"/>
      <c r="D8" s="4"/>
      <c r="E8" s="4"/>
      <c r="F8" s="4"/>
      <c r="G8" s="4"/>
    </row>
    <row r="9" customFormat="false" ht="15.75" hidden="false" customHeight="true" outlineLevel="0" collapsed="false">
      <c r="B9" s="5" t="s">
        <v>2</v>
      </c>
      <c r="C9" s="5"/>
      <c r="D9" s="5"/>
      <c r="E9" s="5"/>
      <c r="F9" s="5"/>
      <c r="G9" s="5"/>
    </row>
    <row r="10" customFormat="false" ht="15.75" hidden="false" customHeight="true" outlineLevel="0" collapsed="false"/>
    <row r="11" customFormat="false" ht="3" hidden="false" customHeight="true" outlineLevel="0" collapsed="false">
      <c r="B11" s="2"/>
      <c r="C11" s="2"/>
      <c r="D11" s="2"/>
      <c r="E11" s="2"/>
      <c r="F11" s="2"/>
      <c r="G11" s="2"/>
    </row>
    <row r="12" customFormat="false" ht="15.75" hidden="false" customHeight="true" outlineLevel="0" collapsed="false"/>
    <row r="13" customFormat="false" ht="15.75" hidden="false" customHeight="true" outlineLevel="0" collapsed="false">
      <c r="B13" s="6" t="s">
        <v>3</v>
      </c>
      <c r="C13" s="7" t="s">
        <v>4</v>
      </c>
      <c r="D13" s="7"/>
      <c r="E13" s="7"/>
      <c r="F13" s="7"/>
      <c r="G13" s="7"/>
    </row>
    <row r="14" customFormat="false" ht="15.75" hidden="false" customHeight="true" outlineLevel="0" collapsed="false">
      <c r="B14" s="6" t="s">
        <v>5</v>
      </c>
      <c r="C14" s="7" t="s">
        <v>6</v>
      </c>
      <c r="D14" s="7"/>
      <c r="E14" s="7"/>
      <c r="F14" s="7"/>
      <c r="G14" s="7"/>
    </row>
    <row r="15" customFormat="false" ht="15.75" hidden="false" customHeight="true" outlineLevel="0" collapsed="false">
      <c r="B15" s="6" t="s">
        <v>7</v>
      </c>
      <c r="C15" s="7" t="s">
        <v>8</v>
      </c>
      <c r="D15" s="7"/>
      <c r="E15" s="7"/>
      <c r="F15" s="7"/>
      <c r="G15" s="7"/>
    </row>
    <row r="16" customFormat="false" ht="15.75" hidden="false" customHeight="true" outlineLevel="0" collapsed="false">
      <c r="B16" s="6" t="s">
        <v>9</v>
      </c>
      <c r="C16" s="7" t="s">
        <v>10</v>
      </c>
      <c r="D16" s="7"/>
      <c r="E16" s="7"/>
      <c r="F16" s="7"/>
      <c r="G16" s="7"/>
    </row>
    <row r="17" customFormat="false" ht="15.75" hidden="false" customHeight="true" outlineLevel="0" collapsed="false">
      <c r="B17" s="6" t="s">
        <v>11</v>
      </c>
      <c r="C17" s="7" t="s">
        <v>12</v>
      </c>
      <c r="D17" s="7"/>
      <c r="E17" s="7"/>
      <c r="F17" s="7"/>
      <c r="G17" s="7"/>
    </row>
    <row r="18" customFormat="false" ht="15.75" hidden="false" customHeight="true" outlineLevel="0" collapsed="false">
      <c r="B18" s="6" t="s">
        <v>13</v>
      </c>
      <c r="C18" s="7" t="s">
        <v>14</v>
      </c>
      <c r="D18" s="7"/>
      <c r="E18" s="7"/>
      <c r="F18" s="7"/>
      <c r="G18" s="7"/>
    </row>
    <row r="19" customFormat="false" ht="15.75" hidden="false" customHeight="true" outlineLevel="0" collapsed="false">
      <c r="B19" s="6" t="s">
        <v>15</v>
      </c>
      <c r="C19" s="7" t="s">
        <v>16</v>
      </c>
      <c r="D19" s="7"/>
      <c r="E19" s="7"/>
      <c r="F19" s="7"/>
      <c r="G19" s="7"/>
    </row>
    <row r="20" customFormat="false" ht="15.75" hidden="false" customHeight="true" outlineLevel="0" collapsed="false"/>
    <row r="21" customFormat="false" ht="3" hidden="false" customHeight="true" outlineLevel="0" collapsed="false">
      <c r="B21" s="8"/>
      <c r="C21" s="8"/>
      <c r="D21" s="8"/>
      <c r="E21" s="8"/>
      <c r="F21" s="8"/>
      <c r="G21" s="8"/>
    </row>
    <row r="22" customFormat="false" ht="15.75" hidden="false" customHeight="true" outlineLevel="0" collapsed="false"/>
    <row r="23" customFormat="false" ht="15.75" hidden="false" customHeight="true" outlineLevel="0" collapsed="false">
      <c r="B23" s="9" t="s">
        <v>17</v>
      </c>
      <c r="C23" s="9"/>
      <c r="D23" s="9"/>
      <c r="E23" s="9"/>
      <c r="F23" s="9"/>
      <c r="G23" s="9"/>
    </row>
    <row r="24" customFormat="false" ht="15.75" hidden="false" customHeight="true" outlineLevel="0" collapsed="false">
      <c r="B24" s="6" t="s">
        <v>18</v>
      </c>
      <c r="C24" s="10" t="s">
        <v>19</v>
      </c>
      <c r="D24" s="10"/>
      <c r="E24" s="10"/>
      <c r="F24" s="10"/>
      <c r="G24" s="10"/>
    </row>
    <row r="25" customFormat="false" ht="15.75" hidden="false" customHeight="true" outlineLevel="0" collapsed="false">
      <c r="B25" s="6" t="s">
        <v>20</v>
      </c>
      <c r="C25" s="10" t="s">
        <v>21</v>
      </c>
      <c r="D25" s="10"/>
      <c r="E25" s="10"/>
      <c r="F25" s="10"/>
      <c r="G25" s="10"/>
    </row>
    <row r="26" customFormat="false" ht="15.75" hidden="false" customHeight="true" outlineLevel="0" collapsed="false">
      <c r="B26" s="6" t="s">
        <v>22</v>
      </c>
      <c r="C26" s="10" t="s">
        <v>23</v>
      </c>
      <c r="D26" s="10"/>
      <c r="E26" s="10"/>
      <c r="F26" s="10"/>
      <c r="G26" s="10"/>
    </row>
    <row r="27" customFormat="false" ht="15.75" hidden="false" customHeight="true" outlineLevel="0" collapsed="false">
      <c r="B27" s="6" t="s">
        <v>24</v>
      </c>
      <c r="C27" s="10" t="s">
        <v>25</v>
      </c>
      <c r="D27" s="10"/>
      <c r="E27" s="10"/>
      <c r="F27" s="10"/>
      <c r="G27" s="10"/>
    </row>
    <row r="28" customFormat="false" ht="15.75" hidden="false" customHeight="true" outlineLevel="0" collapsed="false">
      <c r="B28" s="6" t="s">
        <v>26</v>
      </c>
      <c r="C28" s="10" t="s">
        <v>27</v>
      </c>
      <c r="D28" s="10"/>
      <c r="E28" s="10"/>
      <c r="F28" s="10"/>
      <c r="G28" s="10"/>
    </row>
    <row r="29" customFormat="false" ht="15.75" hidden="false" customHeight="true" outlineLevel="0" collapsed="false">
      <c r="B29" s="6" t="s">
        <v>28</v>
      </c>
      <c r="C29" s="10" t="s">
        <v>29</v>
      </c>
      <c r="D29" s="10"/>
      <c r="E29" s="10"/>
      <c r="F29" s="10"/>
      <c r="G29" s="10"/>
    </row>
    <row r="30" customFormat="false" ht="15.75" hidden="false" customHeight="true" outlineLevel="0" collapsed="false">
      <c r="B30" s="6" t="s">
        <v>30</v>
      </c>
      <c r="C30" s="10" t="s">
        <v>31</v>
      </c>
      <c r="D30" s="10"/>
      <c r="E30" s="10"/>
      <c r="F30" s="10"/>
      <c r="G30" s="10"/>
    </row>
    <row r="31" customFormat="false" ht="15.75" hidden="false" customHeight="true" outlineLevel="0" collapsed="false">
      <c r="B31" s="6" t="s">
        <v>32</v>
      </c>
      <c r="C31" s="10" t="s">
        <v>33</v>
      </c>
      <c r="D31" s="10"/>
      <c r="E31" s="10"/>
      <c r="F31" s="10"/>
      <c r="G31" s="10"/>
    </row>
    <row r="32" customFormat="false" ht="15.75" hidden="false" customHeight="true" outlineLevel="0" collapsed="false">
      <c r="B32" s="6" t="s">
        <v>34</v>
      </c>
      <c r="C32" s="10" t="s">
        <v>35</v>
      </c>
      <c r="D32" s="10"/>
      <c r="E32" s="10"/>
      <c r="F32" s="10"/>
      <c r="G32" s="10"/>
    </row>
    <row r="33" customFormat="false" ht="15.75" hidden="false" customHeight="true" outlineLevel="0" collapsed="false">
      <c r="B33" s="6" t="s">
        <v>36</v>
      </c>
      <c r="C33" s="10" t="s">
        <v>37</v>
      </c>
      <c r="D33" s="10"/>
      <c r="E33" s="10"/>
      <c r="F33" s="10"/>
      <c r="G33" s="10"/>
    </row>
    <row r="34" customFormat="false" ht="15.75" hidden="false" customHeight="true" outlineLevel="0" collapsed="false">
      <c r="B34" s="6" t="s">
        <v>38</v>
      </c>
      <c r="C34" s="10" t="s">
        <v>39</v>
      </c>
      <c r="D34" s="10"/>
      <c r="E34" s="10"/>
      <c r="F34" s="10"/>
      <c r="G34" s="10"/>
    </row>
    <row r="35" customFormat="false" ht="15.75" hidden="false" customHeight="true" outlineLevel="0" collapsed="false">
      <c r="B35" s="6" t="s">
        <v>40</v>
      </c>
      <c r="C35" s="10" t="s">
        <v>41</v>
      </c>
      <c r="D35" s="10"/>
      <c r="E35" s="10"/>
      <c r="F35" s="10"/>
      <c r="G35" s="10"/>
    </row>
    <row r="36" customFormat="false" ht="15.75" hidden="false" customHeight="true" outlineLevel="0" collapsed="false">
      <c r="B36" s="6" t="s">
        <v>42</v>
      </c>
      <c r="C36" s="10" t="s">
        <v>43</v>
      </c>
      <c r="D36" s="10"/>
      <c r="E36" s="10"/>
      <c r="F36" s="10"/>
      <c r="G36" s="10"/>
    </row>
    <row r="37" customFormat="false" ht="15.75" hidden="false" customHeight="true" outlineLevel="0" collapsed="false">
      <c r="B37" s="6" t="s">
        <v>44</v>
      </c>
      <c r="C37" s="10" t="s">
        <v>45</v>
      </c>
      <c r="D37" s="10"/>
      <c r="E37" s="10"/>
      <c r="F37" s="10"/>
      <c r="G37" s="10"/>
    </row>
    <row r="38" customFormat="false" ht="15.75" hidden="false" customHeight="true" outlineLevel="0" collapsed="false"/>
    <row r="39" customFormat="false" ht="15" hidden="false" customHeight="true" outlineLevel="0" collapsed="false">
      <c r="B39" s="11" t="s">
        <v>46</v>
      </c>
      <c r="C39" s="11"/>
      <c r="D39" s="11"/>
      <c r="E39" s="11"/>
      <c r="F39" s="11"/>
      <c r="G39" s="11"/>
    </row>
    <row r="40" customFormat="false" ht="15" hidden="false" customHeight="true" outlineLevel="0" collapsed="false">
      <c r="B40" s="11"/>
      <c r="C40" s="11"/>
      <c r="D40" s="11"/>
      <c r="E40" s="11"/>
      <c r="F40" s="11"/>
      <c r="G40" s="11"/>
    </row>
    <row r="41" customFormat="false" ht="15" hidden="false" customHeight="true" outlineLevel="0" collapsed="false">
      <c r="B41" s="11"/>
      <c r="C41" s="11"/>
      <c r="D41" s="11"/>
      <c r="E41" s="11"/>
      <c r="F41" s="11"/>
      <c r="G41" s="11"/>
    </row>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sheetData>
  <mergeCells count="29">
    <mergeCell ref="B2:G2"/>
    <mergeCell ref="B4:G6"/>
    <mergeCell ref="B7:G8"/>
    <mergeCell ref="B9:G9"/>
    <mergeCell ref="B11:G11"/>
    <mergeCell ref="C13:G13"/>
    <mergeCell ref="C14:G14"/>
    <mergeCell ref="C15:G15"/>
    <mergeCell ref="C16:G16"/>
    <mergeCell ref="C17:G17"/>
    <mergeCell ref="C18:G18"/>
    <mergeCell ref="C19:G19"/>
    <mergeCell ref="B21:G21"/>
    <mergeCell ref="B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B39: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5911"/>
    <pageSetUpPr fitToPage="true"/>
  </sheetPr>
  <dimension ref="B1: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7"/>
    <col collapsed="false" customWidth="true" hidden="false" outlineLevel="0" max="7" min="3" style="1" width="13"/>
    <col collapsed="false" customWidth="true" hidden="false" outlineLevel="0" max="8" min="8" style="1" width="17"/>
    <col collapsed="false" customWidth="true" hidden="false" outlineLevel="0" max="9" min="9" style="1" width="2.5"/>
  </cols>
  <sheetData>
    <row r="1" customFormat="false" ht="25.5" hidden="false" customHeight="true" outlineLevel="0" collapsed="false">
      <c r="B1" s="12" t="s">
        <v>47</v>
      </c>
      <c r="C1" s="12"/>
      <c r="D1" s="12"/>
      <c r="E1" s="12"/>
      <c r="F1" s="12"/>
      <c r="G1" s="12"/>
      <c r="H1" s="12"/>
    </row>
    <row r="2" customFormat="false" ht="15" hidden="false" customHeight="true" outlineLevel="0" collapsed="false">
      <c r="B2" s="13" t="s">
        <v>48</v>
      </c>
      <c r="C2" s="13"/>
      <c r="D2" s="13"/>
      <c r="E2" s="13"/>
      <c r="F2" s="13"/>
      <c r="G2" s="13"/>
      <c r="H2" s="13"/>
    </row>
    <row r="3" customFormat="false" ht="13.5" hidden="false" customHeight="true" outlineLevel="0" collapsed="false">
      <c r="B3" s="14" t="str">
        <f aca="false">CONCATENATE("Active scenario: ",Assumptions!C4,"   |   Appraised value under review: $11,100,000 ($290.00/land SF)   |   Land: 38,207 SF / 0.88 ac   |   Zoning: RAC-RPO")</f>
        <v>Active scenario: Base   |   Appraised value under review: $11,100,000 ($290.00/land SF)   |   Land: 38,207 SF / 0.88 ac   |   Zoning: RAC-RPO</v>
      </c>
      <c r="C3" s="14"/>
      <c r="D3" s="14"/>
      <c r="E3" s="14"/>
      <c r="F3" s="14"/>
      <c r="G3" s="14"/>
      <c r="H3" s="14"/>
    </row>
    <row r="5" customFormat="false" ht="18" hidden="false" customHeight="true" outlineLevel="0" collapsed="false">
      <c r="B5" s="9" t="s">
        <v>49</v>
      </c>
      <c r="C5" s="9"/>
      <c r="D5" s="9"/>
      <c r="E5" s="9"/>
      <c r="F5" s="9"/>
      <c r="G5" s="9"/>
      <c r="H5" s="9"/>
    </row>
    <row r="6" customFormat="false" ht="15" hidden="false" customHeight="true" outlineLevel="0" collapsed="false">
      <c r="B6" s="15" t="s">
        <v>50</v>
      </c>
      <c r="C6" s="15"/>
      <c r="D6" s="15"/>
      <c r="E6" s="15"/>
      <c r="F6" s="15"/>
      <c r="G6" s="15"/>
      <c r="H6" s="15"/>
    </row>
    <row r="7" customFormat="false" ht="15" hidden="false" customHeight="true" outlineLevel="0" collapsed="false">
      <c r="B7" s="15"/>
      <c r="C7" s="15"/>
      <c r="D7" s="15"/>
      <c r="E7" s="15"/>
      <c r="F7" s="15"/>
      <c r="G7" s="15"/>
      <c r="H7" s="15"/>
    </row>
    <row r="8" customFormat="false" ht="15" hidden="false" customHeight="true" outlineLevel="0" collapsed="false">
      <c r="B8" s="15"/>
      <c r="C8" s="15"/>
      <c r="D8" s="15"/>
      <c r="E8" s="15"/>
      <c r="F8" s="15"/>
      <c r="G8" s="15"/>
      <c r="H8" s="15"/>
    </row>
    <row r="10" customFormat="false" ht="18" hidden="false" customHeight="true" outlineLevel="0" collapsed="false">
      <c r="B10" s="9" t="s">
        <v>51</v>
      </c>
      <c r="C10" s="9"/>
      <c r="D10" s="9"/>
      <c r="E10" s="9"/>
      <c r="F10" s="9" t="s">
        <v>52</v>
      </c>
      <c r="G10" s="9"/>
      <c r="H10" s="9"/>
    </row>
    <row r="11" customFormat="false" ht="15" hidden="false" customHeight="true" outlineLevel="0" collapsed="false">
      <c r="B11" s="16" t="str">
        <f aca="false">'Residual Land Value'!C45</f>
        <v>CAUTION — NEGOTIATE</v>
      </c>
      <c r="C11" s="16"/>
      <c r="D11" s="16"/>
      <c r="E11" s="16"/>
      <c r="F11" s="17" t="s">
        <v>53</v>
      </c>
      <c r="G11" s="17"/>
      <c r="H11" s="18" t="n">
        <f aca="false">'Residual Land Value'!C36</f>
        <v>8957792.49906303</v>
      </c>
    </row>
    <row r="12" customFormat="false" ht="15" hidden="false" customHeight="true" outlineLevel="0" collapsed="false">
      <c r="B12" s="16"/>
      <c r="C12" s="16"/>
      <c r="D12" s="16"/>
      <c r="E12" s="16"/>
      <c r="F12" s="19" t="s">
        <v>54</v>
      </c>
      <c r="G12" s="19"/>
      <c r="H12" s="20" t="n">
        <f aca="false">'Residual Land Value'!C37</f>
        <v>234.454223023609</v>
      </c>
    </row>
    <row r="13" customFormat="false" ht="15" hidden="false" customHeight="true" outlineLevel="0" collapsed="false">
      <c r="B13" s="16"/>
      <c r="C13" s="16"/>
      <c r="D13" s="16"/>
      <c r="E13" s="16"/>
      <c r="F13" s="17" t="s">
        <v>55</v>
      </c>
      <c r="G13" s="17"/>
      <c r="H13" s="18" t="n">
        <f aca="false">a_appr</f>
        <v>11100000</v>
      </c>
    </row>
    <row r="14" customFormat="false" ht="15" hidden="false" customHeight="true" outlineLevel="0" collapsed="false">
      <c r="B14" s="21" t="str">
        <f aca="false">CONCATENATE("Coverage ratio (supported / appraised): ",TEXT('Residual Land Value'!C44,"0.0%"))</f>
        <v>Coverage ratio (supported / appraised): 80.7%</v>
      </c>
      <c r="C14" s="21"/>
      <c r="D14" s="21"/>
      <c r="E14" s="21"/>
      <c r="F14" s="19" t="s">
        <v>56</v>
      </c>
      <c r="G14" s="19"/>
      <c r="H14" s="22" t="n">
        <f aca="false">'Residual Land Value'!C41</f>
        <v>-2142207.50093697</v>
      </c>
    </row>
    <row r="15" customFormat="false" ht="15" hidden="false" customHeight="true" outlineLevel="0" collapsed="false">
      <c r="F15" s="17" t="s">
        <v>57</v>
      </c>
      <c r="G15" s="17"/>
      <c r="H15" s="23" t="n">
        <f aca="false">'Residual Land Value'!C42</f>
        <v>-0.192991666751079</v>
      </c>
    </row>
    <row r="16" customFormat="false" ht="18" hidden="false" customHeight="true" outlineLevel="0" collapsed="false">
      <c r="F16" s="19" t="s">
        <v>58</v>
      </c>
      <c r="G16" s="19"/>
      <c r="H16" s="22" t="n">
        <f aca="false">'Residual Land Value'!C32</f>
        <v>120588186.296942</v>
      </c>
    </row>
    <row r="17" customFormat="false" ht="15" hidden="false" customHeight="true" outlineLevel="0" collapsed="false">
      <c r="B17" s="24" t="s">
        <v>59</v>
      </c>
      <c r="C17" s="24"/>
      <c r="D17" s="24"/>
      <c r="E17" s="24"/>
      <c r="F17" s="24"/>
      <c r="G17" s="24"/>
      <c r="H17" s="24"/>
    </row>
    <row r="18" customFormat="false" ht="12" hidden="false" customHeight="true" outlineLevel="0" collapsed="false">
      <c r="F18" s="19" t="s">
        <v>60</v>
      </c>
      <c r="G18" s="19"/>
      <c r="H18" s="22" t="n">
        <f aca="false">'Residual Land Value'!C35</f>
        <v>16625803.331599</v>
      </c>
    </row>
    <row r="19" customFormat="false" ht="12" hidden="false" customHeight="true" outlineLevel="0" collapsed="false"/>
    <row r="20" customFormat="false" ht="12" hidden="false" customHeight="true" outlineLevel="0" collapsed="false"/>
    <row r="21" customFormat="false" ht="12" hidden="false" customHeight="true" outlineLevel="0" collapsed="false"/>
    <row r="22" customFormat="false" ht="12" hidden="false" customHeight="true" outlineLevel="0" collapsed="false"/>
    <row r="23" customFormat="false" ht="12" hidden="false" customHeight="true" outlineLevel="0" collapsed="false"/>
    <row r="24" customFormat="false" ht="12" hidden="false" customHeight="true" outlineLevel="0" collapsed="false"/>
    <row r="25" customFormat="false" ht="12" hidden="false" customHeight="true" outlineLevel="0" collapsed="false"/>
    <row r="26" customFormat="false" ht="12" hidden="false" customHeight="true" outlineLevel="0" collapsed="false"/>
    <row r="27" customFormat="false" ht="12" hidden="false" customHeight="true" outlineLevel="0" collapsed="false"/>
    <row r="28" customFormat="false" ht="12" hidden="false" customHeight="true" outlineLevel="0" collapsed="false"/>
    <row r="29" customFormat="false" ht="18" hidden="false" customHeight="true" outlineLevel="0" collapsed="false">
      <c r="B29" s="9" t="s">
        <v>61</v>
      </c>
      <c r="C29" s="9"/>
      <c r="D29" s="9"/>
      <c r="E29" s="9"/>
      <c r="F29" s="9"/>
      <c r="G29" s="9"/>
      <c r="H29" s="9"/>
    </row>
    <row r="30" customFormat="false" ht="12" hidden="false" customHeight="true" outlineLevel="0" collapsed="false"/>
    <row r="31" customFormat="false" ht="12" hidden="false" customHeight="true" outlineLevel="0" collapsed="false"/>
    <row r="32" customFormat="false" ht="12" hidden="false" customHeight="true" outlineLevel="0" collapsed="false"/>
    <row r="33" customFormat="false" ht="12" hidden="false" customHeight="true" outlineLevel="0" collapsed="false"/>
    <row r="34" customFormat="false" ht="12" hidden="false" customHeight="true" outlineLevel="0" collapsed="false"/>
    <row r="35" customFormat="false" ht="12" hidden="false" customHeight="true" outlineLevel="0" collapsed="false"/>
    <row r="36" customFormat="false" ht="12" hidden="false" customHeight="true" outlineLevel="0" collapsed="false"/>
    <row r="37" customFormat="false" ht="12" hidden="false" customHeight="true" outlineLevel="0" collapsed="false"/>
    <row r="38" customFormat="false" ht="12" hidden="false" customHeight="true" outlineLevel="0" collapsed="false"/>
    <row r="39" customFormat="false" ht="12" hidden="false" customHeight="true" outlineLevel="0" collapsed="false"/>
    <row r="40" customFormat="false" ht="12" hidden="false" customHeight="true" outlineLevel="0" collapsed="false"/>
    <row r="42" customFormat="false" ht="18" hidden="false" customHeight="true" outlineLevel="0" collapsed="false">
      <c r="B42" s="9" t="s">
        <v>62</v>
      </c>
      <c r="C42" s="9"/>
      <c r="D42" s="9"/>
      <c r="E42" s="9"/>
      <c r="F42" s="9"/>
      <c r="G42" s="9"/>
      <c r="H42" s="9"/>
    </row>
    <row r="43" customFormat="false" ht="15" hidden="false" customHeight="true" outlineLevel="0" collapsed="false">
      <c r="B43" s="25" t="s">
        <v>63</v>
      </c>
      <c r="C43" s="25"/>
      <c r="D43" s="25" t="s">
        <v>64</v>
      </c>
      <c r="E43" s="25"/>
      <c r="F43" s="25" t="s">
        <v>65</v>
      </c>
      <c r="G43" s="25"/>
      <c r="H43" s="25"/>
    </row>
    <row r="44" customFormat="false" ht="15" hidden="false" customHeight="true" outlineLevel="0" collapsed="false">
      <c r="B44" s="25" t="s">
        <v>66</v>
      </c>
      <c r="C44" s="25"/>
      <c r="D44" s="26" t="s">
        <v>67</v>
      </c>
      <c r="E44" s="26"/>
      <c r="F44" s="26" t="s">
        <v>68</v>
      </c>
      <c r="G44" s="26"/>
      <c r="H44" s="26"/>
    </row>
    <row r="45" customFormat="false" ht="13.5" hidden="false" customHeight="true" outlineLevel="0" collapsed="false">
      <c r="B45" s="14" t="s">
        <v>69</v>
      </c>
      <c r="C45" s="14"/>
      <c r="D45" s="14"/>
      <c r="E45" s="14"/>
      <c r="F45" s="14"/>
      <c r="G45" s="14"/>
      <c r="H45" s="14"/>
    </row>
    <row r="47" customFormat="false" ht="18" hidden="false" customHeight="true" outlineLevel="0" collapsed="false">
      <c r="B47" s="9" t="s">
        <v>70</v>
      </c>
      <c r="C47" s="9"/>
      <c r="D47" s="9"/>
      <c r="E47" s="9"/>
      <c r="F47" s="9"/>
      <c r="G47" s="9"/>
      <c r="H47" s="9"/>
    </row>
    <row r="48" customFormat="false" ht="15" hidden="false" customHeight="true" outlineLevel="0" collapsed="false">
      <c r="B48" s="27" t="str">
        <f aca="false">IF('Residual Land Value'!C44&gt;=1,"The appraisal value of $11.1M is supported by current development economics under the active scenario. A rational developer can acquire the site at the appraised value and still clear the required profit hurdle.",IF('Residual Land Value'!C44&gt;=0.75,"The appraisal value of $11.1M is not fully supported by current development economics under base-case financing and construction assumptions. Supported land value falls below the appraisal; the gap is bridgeable through price negotiation, entitlement upside, or improved financing terms.","The appraisal value of $11.1M is not supported by current development economics. At the modeled profit hurdle the site cannot carry the appraised price; a materially lower basis is required to underwrite a viable project."))</f>
        <v>The appraisal value of $11.1M is not fully supported by current development economics under base-case financing and construction assumptions. Supported land value falls below the appraisal; the gap is bridgeable through price negotiation, entitlement upside, or improved financing terms.</v>
      </c>
      <c r="C48" s="27"/>
      <c r="D48" s="27"/>
      <c r="E48" s="27"/>
      <c r="F48" s="27"/>
      <c r="G48" s="27"/>
      <c r="H48" s="27"/>
    </row>
    <row r="49" customFormat="false" ht="15" hidden="false" customHeight="true" outlineLevel="0" collapsed="false">
      <c r="B49" s="27"/>
      <c r="C49" s="27"/>
      <c r="D49" s="27"/>
      <c r="E49" s="27"/>
      <c r="F49" s="27"/>
      <c r="G49" s="27"/>
      <c r="H49" s="27"/>
    </row>
    <row r="50" customFormat="false" ht="15" hidden="false" customHeight="true" outlineLevel="0" collapsed="false">
      <c r="B50" s="27"/>
      <c r="C50" s="27"/>
      <c r="D50" s="27"/>
      <c r="E50" s="27"/>
      <c r="F50" s="27"/>
      <c r="G50" s="27"/>
      <c r="H50" s="27"/>
    </row>
    <row r="52" customFormat="false" ht="21.75" hidden="false" customHeight="true" outlineLevel="0" collapsed="false">
      <c r="B52" s="28" t="s">
        <v>71</v>
      </c>
      <c r="C52" s="28"/>
      <c r="D52" s="28"/>
      <c r="E52" s="28"/>
      <c r="F52" s="28"/>
      <c r="G52" s="28"/>
      <c r="H52" s="28"/>
    </row>
  </sheetData>
  <mergeCells count="30">
    <mergeCell ref="B1:H1"/>
    <mergeCell ref="B2:H2"/>
    <mergeCell ref="B3:H3"/>
    <mergeCell ref="B5:H5"/>
    <mergeCell ref="B6:H8"/>
    <mergeCell ref="B10:E10"/>
    <mergeCell ref="F10:H10"/>
    <mergeCell ref="B11:E13"/>
    <mergeCell ref="F11:G11"/>
    <mergeCell ref="F12:G12"/>
    <mergeCell ref="F13:G13"/>
    <mergeCell ref="B14:E14"/>
    <mergeCell ref="F14:G14"/>
    <mergeCell ref="F15:G15"/>
    <mergeCell ref="F16:G16"/>
    <mergeCell ref="B17:H17"/>
    <mergeCell ref="F17:G17"/>
    <mergeCell ref="F18:G18"/>
    <mergeCell ref="B29:H29"/>
    <mergeCell ref="B42:H42"/>
    <mergeCell ref="B43:C43"/>
    <mergeCell ref="D43:E43"/>
    <mergeCell ref="F43:H43"/>
    <mergeCell ref="B44:C44"/>
    <mergeCell ref="D44:E44"/>
    <mergeCell ref="F44:H44"/>
    <mergeCell ref="B45:H45"/>
    <mergeCell ref="B47:H47"/>
    <mergeCell ref="B48:H50"/>
    <mergeCell ref="B52:H52"/>
  </mergeCells>
  <conditionalFormatting sqref="B11:E13">
    <cfRule type="expression" priority="2" aboveAverage="0" equalAverage="0" bottom="0" percent="0" rank="0" text="" dxfId="0">
      <formula>EXACT($B$11,"PROCEED")</formula>
    </cfRule>
    <cfRule type="expression" priority="3" aboveAverage="0" equalAverage="0" bottom="0" percent="0" rank="0" text="" dxfId="1">
      <formula>EXACT($B$11,"DO NOT PURSUE")</formula>
    </cfRule>
    <cfRule type="expression" priority="4" aboveAverage="0" equalAverage="0" bottom="0" percent="0" rank="0" text="" dxfId="2">
      <formula>EXACT($B$11,"CAUTION — NEGOTIATE")</formula>
    </cfRule>
  </conditionalFormatting>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18"/>
    <col collapsed="false" customWidth="true" hidden="false" outlineLevel="0" max="4" min="4" style="1" width="4"/>
    <col collapsed="false" customWidth="true" hidden="false" outlineLevel="0" max="5" min="5" style="1" width="22"/>
    <col collapsed="false" customWidth="true" hidden="false" outlineLevel="0" max="6" min="6" style="1" width="18"/>
    <col collapsed="false" customWidth="true" hidden="false" outlineLevel="0" max="7" min="7" style="1" width="4"/>
    <col collapsed="false" customWidth="true" hidden="false" outlineLevel="0" max="8" min="8" style="1" width="24"/>
    <col collapsed="false" customWidth="true" hidden="false" outlineLevel="0" max="9" min="9" style="1" width="16"/>
  </cols>
  <sheetData>
    <row r="1" customFormat="false" ht="27.75" hidden="false" customHeight="true" outlineLevel="0" collapsed="false">
      <c r="A1" s="29" t="s">
        <v>72</v>
      </c>
      <c r="B1" s="29"/>
      <c r="C1" s="29"/>
      <c r="D1" s="29"/>
      <c r="E1" s="29"/>
      <c r="F1" s="29"/>
      <c r="G1" s="29"/>
      <c r="H1" s="29"/>
      <c r="I1" s="29"/>
    </row>
    <row r="2" customFormat="false" ht="15.75" hidden="false" customHeight="true" outlineLevel="0" collapsed="false">
      <c r="A2" s="13" t="s">
        <v>73</v>
      </c>
      <c r="B2" s="13"/>
      <c r="C2" s="13"/>
      <c r="D2" s="13"/>
      <c r="E2" s="13"/>
      <c r="F2" s="13"/>
      <c r="G2" s="13"/>
      <c r="H2" s="13"/>
      <c r="I2" s="13"/>
    </row>
    <row r="4" customFormat="false" ht="15" hidden="false" customHeight="true" outlineLevel="0" collapsed="false">
      <c r="B4" s="6" t="s">
        <v>74</v>
      </c>
      <c r="C4" s="30" t="str">
        <f aca="false">Assumptions!C4</f>
        <v>Base</v>
      </c>
    </row>
    <row r="6" customFormat="false" ht="15" hidden="false" customHeight="true" outlineLevel="0" collapsed="false">
      <c r="B6" s="31" t="s">
        <v>75</v>
      </c>
      <c r="E6" s="31" t="s">
        <v>76</v>
      </c>
      <c r="F6" s="31"/>
      <c r="H6" s="31" t="s">
        <v>77</v>
      </c>
      <c r="I6" s="31"/>
    </row>
    <row r="7" customFormat="false" ht="15" hidden="false" customHeight="true" outlineLevel="0" collapsed="false">
      <c r="B7" s="32" t="s">
        <v>78</v>
      </c>
      <c r="C7" s="32"/>
      <c r="E7" s="32" t="s">
        <v>79</v>
      </c>
      <c r="F7" s="32"/>
      <c r="H7" s="33" t="s">
        <v>80</v>
      </c>
      <c r="I7" s="34" t="n">
        <f aca="false">a_landSF</f>
        <v>38207</v>
      </c>
    </row>
    <row r="8" customFormat="false" ht="15" hidden="false" customHeight="true" outlineLevel="0" collapsed="false">
      <c r="B8" s="32"/>
      <c r="C8" s="32"/>
      <c r="E8" s="32"/>
      <c r="F8" s="32"/>
      <c r="H8" s="33" t="s">
        <v>55</v>
      </c>
      <c r="I8" s="35" t="n">
        <f aca="false">a_appr</f>
        <v>11100000</v>
      </c>
    </row>
    <row r="9" customFormat="false" ht="15" hidden="false" customHeight="true" outlineLevel="0" collapsed="false">
      <c r="B9" s="32"/>
      <c r="C9" s="32"/>
      <c r="E9" s="32"/>
      <c r="F9" s="32"/>
      <c r="H9" s="33" t="s">
        <v>81</v>
      </c>
      <c r="I9" s="36" t="n">
        <f aca="false">a_appr/a_landSF</f>
        <v>290.522679090219</v>
      </c>
    </row>
    <row r="10" customFormat="false" ht="15" hidden="false" customHeight="true" outlineLevel="0" collapsed="false">
      <c r="B10" s="32"/>
      <c r="C10" s="32"/>
      <c r="E10" s="32"/>
      <c r="F10" s="32"/>
      <c r="H10" s="33" t="s">
        <v>82</v>
      </c>
      <c r="I10" s="37" t="n">
        <f aca="false">a_far</f>
        <v>6</v>
      </c>
    </row>
    <row r="11" customFormat="false" ht="15" hidden="false" customHeight="true" outlineLevel="0" collapsed="false">
      <c r="B11" s="32"/>
      <c r="C11" s="32"/>
      <c r="E11" s="32"/>
      <c r="F11" s="32"/>
      <c r="H11" s="33" t="s">
        <v>83</v>
      </c>
      <c r="I11" s="34" t="n">
        <f aca="false">r_gba</f>
        <v>229242</v>
      </c>
    </row>
    <row r="12" customFormat="false" ht="15" hidden="false" customHeight="true" outlineLevel="0" collapsed="false">
      <c r="H12" s="33" t="s">
        <v>84</v>
      </c>
      <c r="I12" s="34" t="n">
        <f aca="false">r_units</f>
        <v>246</v>
      </c>
    </row>
    <row r="13" customFormat="false" ht="15" hidden="false" customHeight="true" outlineLevel="0" collapsed="false">
      <c r="B13" s="38" t="s">
        <v>85</v>
      </c>
      <c r="C13" s="38"/>
      <c r="D13" s="38"/>
      <c r="E13" s="38"/>
      <c r="F13" s="38"/>
      <c r="H13" s="38" t="s">
        <v>70</v>
      </c>
      <c r="I13" s="38"/>
    </row>
    <row r="14" customFormat="false" ht="15" hidden="false" customHeight="true" outlineLevel="0" collapsed="false">
      <c r="B14" s="39" t="n">
        <f aca="false">r_resid</f>
        <v>8957792.49906303</v>
      </c>
      <c r="C14" s="39"/>
      <c r="D14" s="39"/>
      <c r="E14" s="39"/>
      <c r="F14" s="39"/>
      <c r="H14" s="40" t="str">
        <f aca="false">'Residual Land Value'!C45</f>
        <v>CAUTION — NEGOTIATE</v>
      </c>
      <c r="I14" s="40"/>
    </row>
    <row r="15" customFormat="false" ht="15" hidden="false" customHeight="true" outlineLevel="0" collapsed="false">
      <c r="B15" s="39"/>
      <c r="C15" s="39"/>
      <c r="D15" s="39"/>
      <c r="E15" s="39"/>
      <c r="F15" s="39"/>
      <c r="H15" s="40"/>
      <c r="I15" s="40"/>
    </row>
    <row r="16" customFormat="false" ht="15" hidden="false" customHeight="true" outlineLevel="0" collapsed="false">
      <c r="B16" s="39"/>
      <c r="C16" s="39"/>
      <c r="D16" s="39"/>
      <c r="E16" s="39"/>
      <c r="F16" s="39"/>
      <c r="H16" s="40"/>
      <c r="I16" s="40"/>
    </row>
    <row r="17" customFormat="false" ht="15" hidden="false" customHeight="true" outlineLevel="0" collapsed="false">
      <c r="H17" s="33" t="s">
        <v>86</v>
      </c>
      <c r="I17" s="41" t="n">
        <f aca="false">r_cover</f>
        <v>0.807008333248921</v>
      </c>
    </row>
    <row r="18" customFormat="false" ht="15" hidden="false" customHeight="true" outlineLevel="0" collapsed="false">
      <c r="B18" s="42" t="s">
        <v>87</v>
      </c>
      <c r="C18" s="43" t="n">
        <f aca="false">a_appr</f>
        <v>11100000</v>
      </c>
      <c r="E18" s="42" t="s">
        <v>88</v>
      </c>
      <c r="F18" s="44" t="n">
        <f aca="false">r_resid</f>
        <v>8957792.49906303</v>
      </c>
      <c r="H18" s="42" t="s">
        <v>89</v>
      </c>
      <c r="I18" s="45" t="n">
        <f aca="false">r_resid-a_appr</f>
        <v>-2142207.50093697</v>
      </c>
    </row>
    <row r="20" customFormat="false" ht="15" hidden="false" customHeight="true" outlineLevel="0" collapsed="false">
      <c r="B20" s="46" t="s">
        <v>90</v>
      </c>
      <c r="C20" s="46"/>
      <c r="D20" s="46"/>
      <c r="E20" s="46"/>
      <c r="F20" s="46"/>
      <c r="G20" s="46"/>
      <c r="H20" s="46"/>
      <c r="I20" s="46"/>
    </row>
    <row r="21" customFormat="false" ht="15" hidden="false" customHeight="true" outlineLevel="0" collapsed="false">
      <c r="B21" s="46"/>
      <c r="C21" s="46"/>
      <c r="D21" s="46"/>
      <c r="E21" s="46"/>
      <c r="F21" s="46"/>
      <c r="G21" s="46"/>
      <c r="H21" s="46"/>
      <c r="I21" s="46"/>
    </row>
  </sheetData>
  <mergeCells count="11">
    <mergeCell ref="A1:I1"/>
    <mergeCell ref="A2:I2"/>
    <mergeCell ref="E6:F6"/>
    <mergeCell ref="H6:I6"/>
    <mergeCell ref="B7:C11"/>
    <mergeCell ref="E7:F11"/>
    <mergeCell ref="B13:F13"/>
    <mergeCell ref="H13:I13"/>
    <mergeCell ref="B14:F16"/>
    <mergeCell ref="H14:I16"/>
    <mergeCell ref="B20:I21"/>
  </mergeCells>
  <conditionalFormatting sqref="H14">
    <cfRule type="expression" priority="2" aboveAverage="0" equalAverage="0" bottom="0" percent="0" rank="0" text="" dxfId="3">
      <formula>r_cover&gt;=1</formula>
    </cfRule>
    <cfRule type="expression" priority="3" aboveAverage="0" equalAverage="0" bottom="0" percent="0" rank="0" text="" dxfId="4">
      <formula>AND(r_cover&lt;1,r_cover&gt;=0.75)</formula>
    </cfRule>
    <cfRule type="expression" priority="4" aboveAverage="0" equalAverage="0" bottom="0" percent="0" rank="0" text="" dxfId="5">
      <formula>r_cover&lt;0.75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5911"/>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6" min="3" style="1" width="16"/>
    <col collapsed="false" customWidth="true" hidden="false" outlineLevel="0" max="7" min="7" style="1" width="3"/>
    <col collapsed="false" customWidth="true" hidden="false" outlineLevel="0" max="8" min="8" style="1" width="34"/>
    <col collapsed="false" customWidth="true" hidden="false" outlineLevel="0" max="9" min="9" style="1" width="14"/>
  </cols>
  <sheetData>
    <row r="1" customFormat="false" ht="27.75" hidden="false" customHeight="true" outlineLevel="0" collapsed="false">
      <c r="A1" s="29" t="s">
        <v>91</v>
      </c>
      <c r="B1" s="29"/>
      <c r="C1" s="29"/>
      <c r="D1" s="29"/>
      <c r="E1" s="29"/>
      <c r="F1" s="29"/>
      <c r="G1" s="29"/>
      <c r="H1" s="29"/>
      <c r="I1" s="29"/>
    </row>
    <row r="2" customFormat="false" ht="15.75" hidden="false" customHeight="true" outlineLevel="0" collapsed="false">
      <c r="A2" s="13" t="s">
        <v>92</v>
      </c>
      <c r="B2" s="13"/>
      <c r="C2" s="13"/>
      <c r="D2" s="13"/>
      <c r="E2" s="13"/>
      <c r="F2" s="13"/>
      <c r="G2" s="13"/>
      <c r="H2" s="13"/>
      <c r="I2" s="13"/>
    </row>
    <row r="4" customFormat="false" ht="15" hidden="false" customHeight="true" outlineLevel="0" collapsed="false">
      <c r="B4" s="47" t="s">
        <v>93</v>
      </c>
      <c r="C4" s="48" t="s">
        <v>94</v>
      </c>
      <c r="D4" s="49" t="s">
        <v>95</v>
      </c>
      <c r="H4" s="50" t="s">
        <v>96</v>
      </c>
      <c r="I4" s="51" t="n">
        <f aca="false">MATCH(C4,{"Conservative","Base","Aggressive"},0)</f>
        <v>2</v>
      </c>
    </row>
    <row r="6" customFormat="false" ht="15" hidden="false" customHeight="true" outlineLevel="0" collapsed="false">
      <c r="B6" s="31" t="s">
        <v>97</v>
      </c>
      <c r="C6" s="31" t="s">
        <v>98</v>
      </c>
      <c r="D6" s="31" t="s">
        <v>94</v>
      </c>
      <c r="E6" s="31" t="s">
        <v>99</v>
      </c>
      <c r="F6" s="52" t="s">
        <v>100</v>
      </c>
      <c r="H6" s="31" t="s">
        <v>101</v>
      </c>
    </row>
    <row r="7" customFormat="false" ht="15" hidden="false" customHeight="true" outlineLevel="0" collapsed="false">
      <c r="B7" s="53" t="s">
        <v>102</v>
      </c>
      <c r="C7" s="54"/>
      <c r="D7" s="54"/>
      <c r="E7" s="54"/>
      <c r="F7" s="54"/>
      <c r="H7" s="54"/>
    </row>
    <row r="8" customFormat="false" ht="18.75" hidden="false" customHeight="true" outlineLevel="0" collapsed="false">
      <c r="B8" s="55" t="s">
        <v>103</v>
      </c>
      <c r="C8" s="56" t="n">
        <v>38207</v>
      </c>
      <c r="D8" s="56"/>
      <c r="E8" s="56"/>
      <c r="F8" s="57" t="n">
        <f aca="false">C8</f>
        <v>38207</v>
      </c>
      <c r="H8" s="58" t="s">
        <v>104</v>
      </c>
    </row>
    <row r="9" customFormat="false" ht="15" hidden="false" customHeight="true" outlineLevel="0" collapsed="false">
      <c r="B9" s="55" t="s">
        <v>105</v>
      </c>
      <c r="C9" s="59" t="n">
        <f aca="false">C8/43560</f>
        <v>0.877112029384757</v>
      </c>
      <c r="D9" s="59"/>
      <c r="E9" s="59"/>
      <c r="F9" s="60" t="n">
        <f aca="false">C9</f>
        <v>0.877112029384757</v>
      </c>
      <c r="H9" s="58" t="s">
        <v>106</v>
      </c>
    </row>
    <row r="10" customFormat="false" ht="15" hidden="false" customHeight="true" outlineLevel="0" collapsed="false">
      <c r="B10" s="55" t="s">
        <v>107</v>
      </c>
      <c r="C10" s="61" t="n">
        <v>11100000</v>
      </c>
      <c r="D10" s="61"/>
      <c r="E10" s="61"/>
      <c r="F10" s="62" t="n">
        <f aca="false">C10</f>
        <v>11100000</v>
      </c>
      <c r="H10" s="58" t="s">
        <v>108</v>
      </c>
    </row>
    <row r="11" customFormat="false" ht="15" hidden="false" customHeight="true" outlineLevel="0" collapsed="false">
      <c r="B11" s="55" t="s">
        <v>109</v>
      </c>
      <c r="C11" s="63" t="n">
        <f aca="false">C10/C8</f>
        <v>290.522679090219</v>
      </c>
      <c r="D11" s="63"/>
      <c r="E11" s="63"/>
      <c r="F11" s="64" t="n">
        <f aca="false">C11</f>
        <v>290.522679090219</v>
      </c>
      <c r="H11" s="58" t="s">
        <v>110</v>
      </c>
    </row>
    <row r="12" customFormat="false" ht="15" hidden="false" customHeight="true" outlineLevel="0" collapsed="false">
      <c r="B12" s="53" t="s">
        <v>111</v>
      </c>
      <c r="C12" s="54"/>
      <c r="D12" s="54"/>
      <c r="E12" s="54"/>
      <c r="F12" s="54"/>
      <c r="H12" s="54"/>
    </row>
    <row r="13" customFormat="false" ht="18.75" hidden="false" customHeight="true" outlineLevel="0" collapsed="false">
      <c r="B13" s="55" t="s">
        <v>112</v>
      </c>
      <c r="C13" s="65" t="n">
        <v>6</v>
      </c>
      <c r="D13" s="65" t="n">
        <v>6</v>
      </c>
      <c r="E13" s="65" t="n">
        <v>6</v>
      </c>
      <c r="F13" s="66" t="n">
        <f aca="false">INDEX(C13:E13,$I$4)</f>
        <v>6</v>
      </c>
      <c r="H13" s="58" t="s">
        <v>113</v>
      </c>
    </row>
    <row r="14" customFormat="false" ht="18.75" hidden="false" customHeight="true" outlineLevel="0" collapsed="false">
      <c r="B14" s="55" t="s">
        <v>114</v>
      </c>
      <c r="C14" s="67" t="n">
        <v>0.85</v>
      </c>
      <c r="D14" s="67" t="n">
        <v>0.86</v>
      </c>
      <c r="E14" s="67" t="n">
        <v>0.87</v>
      </c>
      <c r="F14" s="68" t="n">
        <f aca="false">INDEX(C14:E14,$I$4)</f>
        <v>0.86</v>
      </c>
      <c r="H14" s="58" t="s">
        <v>115</v>
      </c>
    </row>
    <row r="15" customFormat="false" ht="18.75" hidden="false" customHeight="true" outlineLevel="0" collapsed="false">
      <c r="B15" s="55" t="s">
        <v>116</v>
      </c>
      <c r="C15" s="56" t="n">
        <v>950</v>
      </c>
      <c r="D15" s="56" t="n">
        <v>900</v>
      </c>
      <c r="E15" s="56" t="n">
        <v>850</v>
      </c>
      <c r="F15" s="57" t="n">
        <f aca="false">INDEX(C15:E15,$I$4)</f>
        <v>900</v>
      </c>
      <c r="H15" s="58" t="s">
        <v>117</v>
      </c>
    </row>
    <row r="16" customFormat="false" ht="15" hidden="false" customHeight="true" outlineLevel="0" collapsed="false">
      <c r="B16" s="55" t="s">
        <v>118</v>
      </c>
      <c r="C16" s="56" t="n">
        <v>8000</v>
      </c>
      <c r="D16" s="56" t="n">
        <v>8000</v>
      </c>
      <c r="E16" s="56" t="n">
        <v>8000</v>
      </c>
      <c r="F16" s="57" t="n">
        <f aca="false">INDEX(C16:E16,$I$4)</f>
        <v>8000</v>
      </c>
      <c r="H16" s="58" t="s">
        <v>119</v>
      </c>
    </row>
    <row r="17" customFormat="false" ht="15" hidden="false" customHeight="true" outlineLevel="0" collapsed="false">
      <c r="B17" s="53" t="s">
        <v>120</v>
      </c>
      <c r="C17" s="54"/>
      <c r="D17" s="54"/>
      <c r="E17" s="54"/>
      <c r="F17" s="54"/>
      <c r="H17" s="54"/>
    </row>
    <row r="18" customFormat="false" ht="27.75" hidden="false" customHeight="true" outlineLevel="0" collapsed="false">
      <c r="B18" s="55" t="s">
        <v>121</v>
      </c>
      <c r="C18" s="69" t="n">
        <v>278</v>
      </c>
      <c r="D18" s="69" t="n">
        <v>265</v>
      </c>
      <c r="E18" s="69" t="n">
        <v>256</v>
      </c>
      <c r="F18" s="70" t="n">
        <f aca="false">INDEX(C18:E18,$I$4)</f>
        <v>265</v>
      </c>
      <c r="H18" s="58" t="s">
        <v>122</v>
      </c>
    </row>
    <row r="19" customFormat="false" ht="18.75" hidden="false" customHeight="true" outlineLevel="0" collapsed="false">
      <c r="B19" s="55" t="s">
        <v>123</v>
      </c>
      <c r="C19" s="67" t="n">
        <v>0.23</v>
      </c>
      <c r="D19" s="67" t="n">
        <v>0.21</v>
      </c>
      <c r="E19" s="67" t="n">
        <v>0.2</v>
      </c>
      <c r="F19" s="68" t="n">
        <f aca="false">INDEX(C19:E19,$I$4)</f>
        <v>0.21</v>
      </c>
      <c r="H19" s="58" t="s">
        <v>124</v>
      </c>
    </row>
    <row r="20" customFormat="false" ht="15" hidden="false" customHeight="true" outlineLevel="0" collapsed="false">
      <c r="B20" s="55" t="s">
        <v>125</v>
      </c>
      <c r="C20" s="67" t="n">
        <v>0.07</v>
      </c>
      <c r="D20" s="67" t="n">
        <v>0.06</v>
      </c>
      <c r="E20" s="67" t="n">
        <v>0.05</v>
      </c>
      <c r="F20" s="68" t="n">
        <f aca="false">INDEX(C20:E20,$I$4)</f>
        <v>0.06</v>
      </c>
      <c r="H20" s="58" t="s">
        <v>126</v>
      </c>
    </row>
    <row r="21" customFormat="false" ht="18.75" hidden="false" customHeight="true" outlineLevel="0" collapsed="false">
      <c r="B21" s="55" t="s">
        <v>127</v>
      </c>
      <c r="C21" s="61" t="n">
        <v>430000</v>
      </c>
      <c r="D21" s="61" t="n">
        <v>350000</v>
      </c>
      <c r="E21" s="61" t="n">
        <v>300000</v>
      </c>
      <c r="F21" s="62" t="n">
        <f aca="false">INDEX(C21:E21,$I$4)</f>
        <v>350000</v>
      </c>
      <c r="H21" s="58" t="s">
        <v>128</v>
      </c>
    </row>
    <row r="22" customFormat="false" ht="18.75" hidden="false" customHeight="true" outlineLevel="0" collapsed="false">
      <c r="B22" s="55" t="s">
        <v>129</v>
      </c>
      <c r="C22" s="61" t="n">
        <v>820000</v>
      </c>
      <c r="D22" s="61" t="n">
        <v>650000</v>
      </c>
      <c r="E22" s="61" t="n">
        <v>560000</v>
      </c>
      <c r="F22" s="62" t="n">
        <f aca="false">INDEX(C22:E22,$I$4)</f>
        <v>650000</v>
      </c>
      <c r="H22" s="58" t="s">
        <v>130</v>
      </c>
    </row>
    <row r="23" customFormat="false" ht="15" hidden="false" customHeight="true" outlineLevel="0" collapsed="false">
      <c r="B23" s="55" t="s">
        <v>131</v>
      </c>
      <c r="C23" s="61" t="n">
        <v>33000</v>
      </c>
      <c r="D23" s="61" t="n">
        <v>30000</v>
      </c>
      <c r="E23" s="61" t="n">
        <v>28000</v>
      </c>
      <c r="F23" s="62" t="n">
        <f aca="false">INDEX(C23:E23,$I$4)</f>
        <v>30000</v>
      </c>
      <c r="H23" s="58" t="s">
        <v>132</v>
      </c>
    </row>
    <row r="24" customFormat="false" ht="15" hidden="false" customHeight="true" outlineLevel="0" collapsed="false">
      <c r="B24" s="53" t="s">
        <v>133</v>
      </c>
      <c r="C24" s="54"/>
      <c r="D24" s="54"/>
      <c r="E24" s="54"/>
      <c r="F24" s="54"/>
      <c r="H24" s="54"/>
    </row>
    <row r="25" customFormat="false" ht="18.75" hidden="false" customHeight="true" outlineLevel="0" collapsed="false">
      <c r="B25" s="55" t="s">
        <v>134</v>
      </c>
      <c r="C25" s="69" t="n">
        <v>4.12</v>
      </c>
      <c r="D25" s="69" t="n">
        <v>4.3</v>
      </c>
      <c r="E25" s="69" t="n">
        <v>4.45</v>
      </c>
      <c r="F25" s="70" t="n">
        <f aca="false">INDEX(C25:E25,$I$4)</f>
        <v>4.3</v>
      </c>
      <c r="H25" s="58" t="s">
        <v>135</v>
      </c>
    </row>
    <row r="26" customFormat="false" ht="15" hidden="false" customHeight="true" outlineLevel="0" collapsed="false">
      <c r="B26" s="55" t="s">
        <v>136</v>
      </c>
      <c r="C26" s="69" t="n">
        <v>36</v>
      </c>
      <c r="D26" s="69" t="n">
        <v>40</v>
      </c>
      <c r="E26" s="69" t="n">
        <v>44</v>
      </c>
      <c r="F26" s="70" t="n">
        <f aca="false">INDEX(C26:E26,$I$4)</f>
        <v>40</v>
      </c>
      <c r="H26" s="58" t="s">
        <v>137</v>
      </c>
    </row>
    <row r="27" customFormat="false" ht="15" hidden="false" customHeight="true" outlineLevel="0" collapsed="false">
      <c r="B27" s="55" t="s">
        <v>138</v>
      </c>
      <c r="C27" s="67" t="n">
        <v>0.07</v>
      </c>
      <c r="D27" s="67" t="n">
        <v>0.06</v>
      </c>
      <c r="E27" s="67" t="n">
        <v>0.05</v>
      </c>
      <c r="F27" s="68" t="n">
        <f aca="false">INDEX(C27:E27,$I$4)</f>
        <v>0.06</v>
      </c>
      <c r="H27" s="58" t="s">
        <v>139</v>
      </c>
    </row>
    <row r="28" customFormat="false" ht="15" hidden="false" customHeight="true" outlineLevel="0" collapsed="false">
      <c r="B28" s="55" t="s">
        <v>140</v>
      </c>
      <c r="C28" s="67" t="n">
        <v>0.34</v>
      </c>
      <c r="D28" s="67" t="n">
        <v>0.32</v>
      </c>
      <c r="E28" s="67" t="n">
        <v>0.3</v>
      </c>
      <c r="F28" s="68" t="n">
        <f aca="false">INDEX(C28:E28,$I$4)</f>
        <v>0.32</v>
      </c>
      <c r="H28" s="58" t="s">
        <v>141</v>
      </c>
    </row>
    <row r="29" customFormat="false" ht="15" hidden="false" customHeight="true" outlineLevel="0" collapsed="false">
      <c r="B29" s="55" t="s">
        <v>142</v>
      </c>
      <c r="C29" s="67" t="n">
        <v>0.056</v>
      </c>
      <c r="D29" s="67" t="n">
        <v>0.0535</v>
      </c>
      <c r="E29" s="67" t="n">
        <v>0.0515</v>
      </c>
      <c r="F29" s="68" t="n">
        <f aca="false">INDEX(C29:E29,$I$4)</f>
        <v>0.0535</v>
      </c>
      <c r="H29" s="58" t="s">
        <v>143</v>
      </c>
    </row>
    <row r="30" customFormat="false" ht="15" hidden="false" customHeight="true" outlineLevel="0" collapsed="false">
      <c r="B30" s="53" t="s">
        <v>144</v>
      </c>
      <c r="C30" s="54"/>
      <c r="D30" s="54"/>
      <c r="E30" s="54"/>
      <c r="F30" s="54"/>
      <c r="H30" s="54"/>
    </row>
    <row r="31" customFormat="false" ht="15" hidden="false" customHeight="true" outlineLevel="0" collapsed="false">
      <c r="B31" s="55" t="s">
        <v>145</v>
      </c>
      <c r="C31" s="67" t="n">
        <v>0.55</v>
      </c>
      <c r="D31" s="67" t="n">
        <v>0.6</v>
      </c>
      <c r="E31" s="67" t="n">
        <v>0.65</v>
      </c>
      <c r="F31" s="68" t="n">
        <f aca="false">INDEX(C31:E31,$I$4)</f>
        <v>0.6</v>
      </c>
      <c r="H31" s="58" t="s">
        <v>146</v>
      </c>
    </row>
    <row r="32" customFormat="false" ht="15" hidden="false" customHeight="true" outlineLevel="0" collapsed="false">
      <c r="B32" s="55" t="s">
        <v>147</v>
      </c>
      <c r="C32" s="67" t="n">
        <v>0.085</v>
      </c>
      <c r="D32" s="67" t="n">
        <v>0.08</v>
      </c>
      <c r="E32" s="67" t="n">
        <v>0.075</v>
      </c>
      <c r="F32" s="68" t="n">
        <f aca="false">INDEX(C32:E32,$I$4)</f>
        <v>0.08</v>
      </c>
      <c r="H32" s="58" t="s">
        <v>148</v>
      </c>
    </row>
    <row r="33" customFormat="false" ht="18.75" hidden="false" customHeight="true" outlineLevel="0" collapsed="false">
      <c r="B33" s="55" t="s">
        <v>149</v>
      </c>
      <c r="C33" s="56" t="n">
        <v>33</v>
      </c>
      <c r="D33" s="56" t="n">
        <v>30</v>
      </c>
      <c r="E33" s="56" t="n">
        <v>27</v>
      </c>
      <c r="F33" s="57" t="n">
        <f aca="false">INDEX(C33:E33,$I$4)</f>
        <v>30</v>
      </c>
      <c r="H33" s="58" t="s">
        <v>150</v>
      </c>
    </row>
    <row r="34" customFormat="false" ht="18.75" hidden="false" customHeight="true" outlineLevel="0" collapsed="false">
      <c r="B34" s="55" t="s">
        <v>151</v>
      </c>
      <c r="C34" s="67" t="n">
        <v>0.2</v>
      </c>
      <c r="D34" s="67" t="n">
        <v>0.175</v>
      </c>
      <c r="E34" s="67" t="n">
        <v>0.15</v>
      </c>
      <c r="F34" s="68" t="n">
        <f aca="false">INDEX(C34:E34,$I$4)</f>
        <v>0.175</v>
      </c>
      <c r="H34" s="58" t="s">
        <v>152</v>
      </c>
    </row>
    <row r="35" customFormat="false" ht="15" hidden="false" customHeight="true" outlineLevel="0" collapsed="false">
      <c r="B35" s="53" t="s">
        <v>153</v>
      </c>
      <c r="C35" s="54"/>
      <c r="D35" s="54"/>
      <c r="E35" s="54"/>
      <c r="F35" s="54"/>
      <c r="H35" s="54"/>
    </row>
    <row r="36" customFormat="false" ht="15" hidden="false" customHeight="true" outlineLevel="0" collapsed="false">
      <c r="B36" s="55" t="s">
        <v>154</v>
      </c>
      <c r="C36" s="56" t="n">
        <v>200</v>
      </c>
      <c r="D36" s="56" t="n">
        <v>200</v>
      </c>
      <c r="E36" s="56" t="n">
        <v>200</v>
      </c>
      <c r="F36" s="57" t="n">
        <f aca="false">INDEX(C36:E36,$I$4)</f>
        <v>200</v>
      </c>
      <c r="H36" s="58" t="s">
        <v>155</v>
      </c>
    </row>
    <row r="37" customFormat="false" ht="15" hidden="false" customHeight="true" outlineLevel="0" collapsed="false">
      <c r="B37" s="55" t="s">
        <v>156</v>
      </c>
      <c r="C37" s="56" t="n">
        <v>100</v>
      </c>
      <c r="D37" s="56" t="n">
        <v>100</v>
      </c>
      <c r="E37" s="56" t="n">
        <v>100</v>
      </c>
      <c r="F37" s="57" t="n">
        <f aca="false">INDEX(C37:E37,$I$4)</f>
        <v>100</v>
      </c>
      <c r="H37" s="58" t="s">
        <v>155</v>
      </c>
    </row>
    <row r="38" customFormat="false" ht="15" hidden="false" customHeight="true" outlineLevel="0" collapsed="false">
      <c r="B38" s="55" t="s">
        <v>157</v>
      </c>
      <c r="C38" s="56" t="n">
        <v>50</v>
      </c>
      <c r="D38" s="56" t="n">
        <v>50</v>
      </c>
      <c r="E38" s="56" t="n">
        <v>50</v>
      </c>
      <c r="F38" s="57" t="n">
        <f aca="false">INDEX(C38:E38,$I$4)</f>
        <v>50</v>
      </c>
      <c r="H38" s="58" t="s">
        <v>155</v>
      </c>
    </row>
    <row r="39" customFormat="false" ht="15" hidden="false" customHeight="true" outlineLevel="0" collapsed="false">
      <c r="B39" s="55" t="s">
        <v>158</v>
      </c>
      <c r="C39" s="61" t="n">
        <v>180</v>
      </c>
      <c r="D39" s="61" t="n">
        <v>220</v>
      </c>
      <c r="E39" s="61" t="n">
        <v>260</v>
      </c>
      <c r="F39" s="62" t="n">
        <f aca="false">INDEX(C39:E39,$I$4)</f>
        <v>220</v>
      </c>
      <c r="H39" s="58" t="s">
        <v>159</v>
      </c>
    </row>
    <row r="40" customFormat="false" ht="15" hidden="false" customHeight="true" outlineLevel="0" collapsed="false">
      <c r="B40" s="55" t="s">
        <v>160</v>
      </c>
      <c r="C40" s="61" t="n">
        <v>450</v>
      </c>
      <c r="D40" s="61" t="n">
        <v>550</v>
      </c>
      <c r="E40" s="61" t="n">
        <v>650</v>
      </c>
      <c r="F40" s="62" t="n">
        <f aca="false">INDEX(C40:E40,$I$4)</f>
        <v>550</v>
      </c>
      <c r="H40" s="58" t="s">
        <v>161</v>
      </c>
    </row>
    <row r="41" customFormat="false" ht="15" hidden="false" customHeight="true" outlineLevel="0" collapsed="false">
      <c r="B41" s="55" t="s">
        <v>162</v>
      </c>
      <c r="C41" s="61" t="n">
        <v>350</v>
      </c>
      <c r="D41" s="61" t="n">
        <v>475</v>
      </c>
      <c r="E41" s="61" t="n">
        <v>600</v>
      </c>
      <c r="F41" s="62" t="n">
        <f aca="false">INDEX(C41:E41,$I$4)</f>
        <v>475</v>
      </c>
      <c r="H41" s="58" t="s">
        <v>163</v>
      </c>
    </row>
    <row r="42" customFormat="false" ht="15" hidden="false" customHeight="true" outlineLevel="0" collapsed="false">
      <c r="B42" s="55" t="s">
        <v>164</v>
      </c>
      <c r="C42" s="61" t="n">
        <v>120000</v>
      </c>
      <c r="D42" s="61" t="n">
        <v>180000</v>
      </c>
      <c r="E42" s="61" t="n">
        <v>240000</v>
      </c>
      <c r="F42" s="62" t="n">
        <f aca="false">INDEX(C42:E42,$I$4)</f>
        <v>180000</v>
      </c>
      <c r="H42" s="58" t="s">
        <v>165</v>
      </c>
    </row>
    <row r="43" customFormat="false" ht="15" hidden="false" customHeight="true" outlineLevel="0" collapsed="false">
      <c r="B43" s="55" t="s">
        <v>166</v>
      </c>
      <c r="C43" s="67" t="n">
        <v>0.085</v>
      </c>
      <c r="D43" s="67" t="n">
        <v>0.075</v>
      </c>
      <c r="E43" s="67" t="n">
        <v>0.0675</v>
      </c>
      <c r="F43" s="68" t="n">
        <f aca="false">INDEX(C43:E43,$I$4)</f>
        <v>0.075</v>
      </c>
      <c r="H43" s="58" t="s">
        <v>167</v>
      </c>
    </row>
    <row r="44" customFormat="false" ht="15" hidden="false" customHeight="true" outlineLevel="0" collapsed="false">
      <c r="B44" s="55" t="s">
        <v>168</v>
      </c>
      <c r="C44" s="67" t="n">
        <v>0.4</v>
      </c>
      <c r="D44" s="67" t="n">
        <v>0.35</v>
      </c>
      <c r="E44" s="67" t="n">
        <v>0.3</v>
      </c>
      <c r="F44" s="68" t="n">
        <f aca="false">INDEX(C44:E44,$I$4)</f>
        <v>0.35</v>
      </c>
      <c r="H44" s="58" t="s">
        <v>139</v>
      </c>
    </row>
    <row r="46" customFormat="false" ht="15" hidden="false" customHeight="true" outlineLevel="0" collapsed="false">
      <c r="B46" s="55" t="s">
        <v>169</v>
      </c>
      <c r="C46" s="71" t="n">
        <v>1.2</v>
      </c>
      <c r="D46" s="71" t="n">
        <v>1.1</v>
      </c>
      <c r="E46" s="71" t="n">
        <v>1</v>
      </c>
      <c r="F46" s="60" t="n">
        <f aca="false">INDEX(C46:E46,$I$4)</f>
        <v>1.1</v>
      </c>
      <c r="H46" s="72" t="s">
        <v>170</v>
      </c>
    </row>
  </sheetData>
  <mergeCells count="6">
    <mergeCell ref="A1:I1"/>
    <mergeCell ref="A2:I2"/>
    <mergeCell ref="C8:E8"/>
    <mergeCell ref="C9:E9"/>
    <mergeCell ref="C10:E10"/>
    <mergeCell ref="C11:E11"/>
  </mergeCells>
  <dataValidations count="1">
    <dataValidation allowBlank="false" errorStyle="stop" operator="between" showDropDown="false" showErrorMessage="false" showInputMessage="false" sqref="C4" type="list">
      <formula1>"Conservative,Base,Aggressive"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18"/>
    <col collapsed="false" customWidth="true" hidden="false" outlineLevel="0" max="5" min="5" style="1" width="24"/>
    <col collapsed="false" customWidth="true" hidden="false" outlineLevel="0" max="6" min="6" style="1" width="40"/>
  </cols>
  <sheetData>
    <row r="1" customFormat="false" ht="27.75" hidden="false" customHeight="true" outlineLevel="0" collapsed="false">
      <c r="A1" s="29" t="s">
        <v>171</v>
      </c>
      <c r="B1" s="29"/>
      <c r="C1" s="29"/>
      <c r="D1" s="29"/>
      <c r="E1" s="29"/>
      <c r="F1" s="29"/>
    </row>
    <row r="2" customFormat="false" ht="15.75" hidden="false" customHeight="true" outlineLevel="0" collapsed="false">
      <c r="A2" s="13" t="s">
        <v>172</v>
      </c>
      <c r="B2" s="13"/>
      <c r="C2" s="13"/>
      <c r="D2" s="13"/>
      <c r="E2" s="13"/>
      <c r="F2" s="13"/>
    </row>
    <row r="4" customFormat="false" ht="15" hidden="false" customHeight="true" outlineLevel="0" collapsed="false">
      <c r="A4" s="31"/>
      <c r="B4" s="31" t="s">
        <v>173</v>
      </c>
      <c r="C4" s="31" t="s">
        <v>174</v>
      </c>
      <c r="D4" s="31" t="s">
        <v>175</v>
      </c>
      <c r="E4" s="31" t="s">
        <v>176</v>
      </c>
      <c r="F4" s="31" t="s">
        <v>177</v>
      </c>
    </row>
    <row r="5" customFormat="false" ht="66" hidden="false" customHeight="true" outlineLevel="0" collapsed="false">
      <c r="A5" s="73" t="s">
        <v>178</v>
      </c>
      <c r="B5" s="74" t="s">
        <v>179</v>
      </c>
      <c r="C5" s="74"/>
      <c r="D5" s="75" t="s">
        <v>180</v>
      </c>
      <c r="E5" s="76" t="s">
        <v>181</v>
      </c>
      <c r="F5" s="76" t="s">
        <v>182</v>
      </c>
    </row>
    <row r="6" customFormat="false" ht="66" hidden="false" customHeight="true" outlineLevel="0" collapsed="false">
      <c r="A6" s="73" t="s">
        <v>183</v>
      </c>
      <c r="B6" s="74" t="s">
        <v>184</v>
      </c>
      <c r="C6" s="74"/>
      <c r="D6" s="75" t="s">
        <v>185</v>
      </c>
      <c r="E6" s="76" t="s">
        <v>186</v>
      </c>
      <c r="F6" s="76" t="s">
        <v>187</v>
      </c>
    </row>
    <row r="7" customFormat="false" ht="66" hidden="false" customHeight="true" outlineLevel="0" collapsed="false">
      <c r="A7" s="73" t="s">
        <v>188</v>
      </c>
      <c r="B7" s="74" t="s">
        <v>189</v>
      </c>
      <c r="C7" s="74"/>
      <c r="D7" s="75" t="s">
        <v>190</v>
      </c>
      <c r="E7" s="76" t="s">
        <v>191</v>
      </c>
      <c r="F7" s="76" t="s">
        <v>192</v>
      </c>
    </row>
    <row r="8" customFormat="false" ht="66" hidden="false" customHeight="true" outlineLevel="0" collapsed="false">
      <c r="A8" s="73" t="s">
        <v>193</v>
      </c>
      <c r="B8" s="74" t="s">
        <v>194</v>
      </c>
      <c r="C8" s="74"/>
      <c r="D8" s="75" t="s">
        <v>195</v>
      </c>
      <c r="E8" s="76" t="s">
        <v>196</v>
      </c>
      <c r="F8" s="76" t="s">
        <v>197</v>
      </c>
    </row>
    <row r="10" customFormat="false" ht="15" hidden="false" customHeight="true" outlineLevel="0" collapsed="false">
      <c r="A10" s="77" t="s">
        <v>198</v>
      </c>
      <c r="B10" s="77"/>
      <c r="C10" s="77"/>
      <c r="D10" s="77"/>
      <c r="E10" s="77"/>
      <c r="F10" s="77"/>
    </row>
    <row r="11" customFormat="false" ht="15" hidden="false" customHeight="true" outlineLevel="0" collapsed="false">
      <c r="A11" s="77"/>
      <c r="B11" s="77"/>
      <c r="C11" s="77"/>
      <c r="D11" s="77"/>
      <c r="E11" s="77"/>
      <c r="F11" s="77"/>
    </row>
    <row r="12" customFormat="false" ht="15" hidden="false" customHeight="true" outlineLevel="0" collapsed="false">
      <c r="A12" s="77"/>
      <c r="B12" s="77"/>
      <c r="C12" s="77"/>
      <c r="D12" s="77"/>
      <c r="E12" s="77"/>
      <c r="F12" s="77"/>
    </row>
  </sheetData>
  <mergeCells count="7">
    <mergeCell ref="A1:F1"/>
    <mergeCell ref="A2:F2"/>
    <mergeCell ref="B5:C5"/>
    <mergeCell ref="B6:C6"/>
    <mergeCell ref="B7:C7"/>
    <mergeCell ref="B8:C8"/>
    <mergeCell ref="A10: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22"/>
    <col collapsed="false" customWidth="true" hidden="false" outlineLevel="0" max="6" min="6" style="1" width="40"/>
  </cols>
  <sheetData>
    <row r="1" customFormat="false" ht="27.75" hidden="false" customHeight="true" outlineLevel="0" collapsed="false">
      <c r="A1" s="29" t="s">
        <v>199</v>
      </c>
      <c r="B1" s="29"/>
      <c r="C1" s="29"/>
      <c r="D1" s="29"/>
      <c r="E1" s="29"/>
      <c r="F1" s="29"/>
    </row>
    <row r="2" customFormat="false" ht="15.75" hidden="false" customHeight="true" outlineLevel="0" collapsed="false">
      <c r="A2" s="13" t="s">
        <v>200</v>
      </c>
      <c r="B2" s="13"/>
      <c r="C2" s="13"/>
      <c r="D2" s="13"/>
      <c r="E2" s="13"/>
      <c r="F2" s="13"/>
    </row>
    <row r="4" customFormat="false" ht="15" hidden="false" customHeight="true" outlineLevel="0" collapsed="false">
      <c r="A4" s="31"/>
      <c r="B4" s="31" t="s">
        <v>201</v>
      </c>
      <c r="C4" s="31" t="s">
        <v>202</v>
      </c>
      <c r="D4" s="31" t="s">
        <v>203</v>
      </c>
      <c r="E4" s="31" t="s">
        <v>204</v>
      </c>
      <c r="F4" s="31" t="s">
        <v>205</v>
      </c>
    </row>
    <row r="5" customFormat="false" ht="27.75" hidden="false" customHeight="true" outlineLevel="0" collapsed="false">
      <c r="A5" s="78" t="s">
        <v>206</v>
      </c>
      <c r="B5" s="79" t="s">
        <v>207</v>
      </c>
      <c r="C5" s="80" t="str">
        <f aca="false">Assumptions!D8 &amp; " SF"</f>
        <v> SF</v>
      </c>
      <c r="D5" s="81" t="s">
        <v>208</v>
      </c>
      <c r="E5" s="81" t="s">
        <v>209</v>
      </c>
      <c r="F5" s="81" t="s">
        <v>210</v>
      </c>
    </row>
    <row r="6" customFormat="false" ht="27.75" hidden="false" customHeight="true" outlineLevel="0" collapsed="false">
      <c r="A6" s="78" t="s">
        <v>206</v>
      </c>
      <c r="B6" s="79" t="s">
        <v>55</v>
      </c>
      <c r="C6" s="80" t="str">
        <f aca="false">TEXT(Assumptions!D10,"$#,##0")</f>
        <v>$0</v>
      </c>
      <c r="D6" s="81" t="s">
        <v>211</v>
      </c>
      <c r="E6" s="81" t="s">
        <v>212</v>
      </c>
      <c r="F6" s="81" t="s">
        <v>213</v>
      </c>
    </row>
    <row r="7" customFormat="false" ht="27.75" hidden="false" customHeight="true" outlineLevel="0" collapsed="false">
      <c r="A7" s="78" t="s">
        <v>206</v>
      </c>
      <c r="B7" s="79" t="s">
        <v>81</v>
      </c>
      <c r="C7" s="80" t="str">
        <f aca="false">TEXT(Assumptions!D11,"$#,##0.00")</f>
        <v>$0.00</v>
      </c>
      <c r="D7" s="81" t="s">
        <v>211</v>
      </c>
      <c r="E7" s="81" t="s">
        <v>212</v>
      </c>
      <c r="F7" s="81" t="s">
        <v>214</v>
      </c>
    </row>
    <row r="8" customFormat="false" ht="27.75" hidden="false" customHeight="true" outlineLevel="0" collapsed="false">
      <c r="A8" s="78" t="s">
        <v>206</v>
      </c>
      <c r="B8" s="79" t="s">
        <v>9</v>
      </c>
      <c r="C8" s="80" t="s">
        <v>215</v>
      </c>
      <c r="D8" s="81" t="s">
        <v>211</v>
      </c>
      <c r="E8" s="81" t="s">
        <v>216</v>
      </c>
      <c r="F8" s="81" t="s">
        <v>217</v>
      </c>
    </row>
    <row r="9" customFormat="false" ht="27.75" hidden="false" customHeight="true" outlineLevel="0" collapsed="false">
      <c r="A9" s="78" t="s">
        <v>206</v>
      </c>
      <c r="B9" s="79" t="s">
        <v>218</v>
      </c>
      <c r="C9" s="80" t="s">
        <v>219</v>
      </c>
      <c r="D9" s="81" t="s">
        <v>211</v>
      </c>
      <c r="E9" s="81" t="s">
        <v>220</v>
      </c>
      <c r="F9" s="81" t="s">
        <v>221</v>
      </c>
    </row>
    <row r="10" customFormat="false" ht="27.75" hidden="false" customHeight="true" outlineLevel="0" collapsed="false">
      <c r="A10" s="78" t="s">
        <v>206</v>
      </c>
      <c r="B10" s="79" t="s">
        <v>222</v>
      </c>
      <c r="C10" s="80" t="s">
        <v>223</v>
      </c>
      <c r="D10" s="81" t="s">
        <v>224</v>
      </c>
      <c r="E10" s="81" t="s">
        <v>225</v>
      </c>
      <c r="F10" s="81" t="s">
        <v>226</v>
      </c>
    </row>
    <row r="11" customFormat="false" ht="27.75" hidden="false" customHeight="true" outlineLevel="0" collapsed="false">
      <c r="A11" s="78" t="s">
        <v>206</v>
      </c>
      <c r="B11" s="79" t="s">
        <v>227</v>
      </c>
      <c r="C11" s="80" t="s">
        <v>228</v>
      </c>
      <c r="D11" s="81" t="s">
        <v>229</v>
      </c>
      <c r="E11" s="81" t="s">
        <v>230</v>
      </c>
      <c r="F11" s="81" t="s">
        <v>231</v>
      </c>
    </row>
    <row r="12" customFormat="false" ht="27.75" hidden="false" customHeight="true" outlineLevel="0" collapsed="false">
      <c r="A12" s="78" t="s">
        <v>206</v>
      </c>
      <c r="B12" s="79" t="s">
        <v>232</v>
      </c>
      <c r="C12" s="80" t="s">
        <v>233</v>
      </c>
      <c r="D12" s="81" t="s">
        <v>211</v>
      </c>
      <c r="E12" s="81" t="s">
        <v>234</v>
      </c>
      <c r="F12" s="81" t="s">
        <v>235</v>
      </c>
    </row>
    <row r="13" customFormat="false" ht="27.75" hidden="false" customHeight="true" outlineLevel="0" collapsed="false">
      <c r="A13" s="82" t="s">
        <v>236</v>
      </c>
      <c r="B13" s="83" t="s">
        <v>82</v>
      </c>
      <c r="C13" s="84" t="str">
        <f aca="false">TEXT(Assumptions!D13,"0.0")</f>
        <v>6.0</v>
      </c>
      <c r="D13" s="85" t="s">
        <v>237</v>
      </c>
      <c r="E13" s="85" t="s">
        <v>238</v>
      </c>
      <c r="F13" s="85" t="s">
        <v>239</v>
      </c>
    </row>
    <row r="14" customFormat="false" ht="27.75" hidden="false" customHeight="true" outlineLevel="0" collapsed="false">
      <c r="A14" s="82" t="s">
        <v>236</v>
      </c>
      <c r="B14" s="83" t="s">
        <v>240</v>
      </c>
      <c r="C14" s="84" t="str">
        <f aca="false">TEXT(Assumptions!D18,"$#,##0.00")</f>
        <v>$265.00</v>
      </c>
      <c r="D14" s="85" t="s">
        <v>237</v>
      </c>
      <c r="E14" s="85" t="s">
        <v>238</v>
      </c>
      <c r="F14" s="85" t="s">
        <v>241</v>
      </c>
    </row>
    <row r="15" customFormat="false" ht="27.75" hidden="false" customHeight="true" outlineLevel="0" collapsed="false">
      <c r="A15" s="82" t="s">
        <v>236</v>
      </c>
      <c r="B15" s="83" t="s">
        <v>242</v>
      </c>
      <c r="C15" s="84" t="str">
        <f aca="false">TEXT(Assumptions!D21,"$#,##0")</f>
        <v>$350,000</v>
      </c>
      <c r="D15" s="85" t="s">
        <v>237</v>
      </c>
      <c r="E15" s="85" t="s">
        <v>238</v>
      </c>
      <c r="F15" s="85" t="s">
        <v>243</v>
      </c>
    </row>
    <row r="16" customFormat="false" ht="27.75" hidden="false" customHeight="true" outlineLevel="0" collapsed="false">
      <c r="A16" s="82" t="s">
        <v>236</v>
      </c>
      <c r="B16" s="83" t="s">
        <v>244</v>
      </c>
      <c r="C16" s="84" t="str">
        <f aca="false">TEXT(Assumptions!D22,"$#,##0")</f>
        <v>$650,000</v>
      </c>
      <c r="D16" s="85" t="s">
        <v>237</v>
      </c>
      <c r="E16" s="85" t="s">
        <v>238</v>
      </c>
      <c r="F16" s="85" t="s">
        <v>245</v>
      </c>
    </row>
    <row r="17" customFormat="false" ht="27.75" hidden="false" customHeight="true" outlineLevel="0" collapsed="false">
      <c r="A17" s="82" t="s">
        <v>236</v>
      </c>
      <c r="B17" s="83" t="s">
        <v>246</v>
      </c>
      <c r="C17" s="84" t="str">
        <f aca="false">TEXT(Assumptions!D25,"$#,##0.00")</f>
        <v>$4.30</v>
      </c>
      <c r="D17" s="85" t="s">
        <v>237</v>
      </c>
      <c r="E17" s="85" t="s">
        <v>238</v>
      </c>
      <c r="F17" s="85" t="s">
        <v>247</v>
      </c>
    </row>
    <row r="18" customFormat="false" ht="27.75" hidden="false" customHeight="true" outlineLevel="0" collapsed="false">
      <c r="A18" s="82" t="s">
        <v>236</v>
      </c>
      <c r="B18" s="83" t="s">
        <v>142</v>
      </c>
      <c r="C18" s="84" t="str">
        <f aca="false">TEXT(Assumptions!D29,"0.00%")</f>
        <v>5.35%</v>
      </c>
      <c r="D18" s="85" t="s">
        <v>237</v>
      </c>
      <c r="E18" s="85" t="s">
        <v>238</v>
      </c>
      <c r="F18" s="85" t="s">
        <v>248</v>
      </c>
    </row>
    <row r="19" customFormat="false" ht="27.75" hidden="false" customHeight="true" outlineLevel="0" collapsed="false">
      <c r="A19" s="82" t="s">
        <v>236</v>
      </c>
      <c r="B19" s="83" t="s">
        <v>147</v>
      </c>
      <c r="C19" s="84" t="str">
        <f aca="false">TEXT(Assumptions!D32,"0.00%")</f>
        <v>8.00%</v>
      </c>
      <c r="D19" s="85" t="s">
        <v>237</v>
      </c>
      <c r="E19" s="85" t="s">
        <v>238</v>
      </c>
      <c r="F19" s="85" t="s">
        <v>248</v>
      </c>
    </row>
    <row r="20" customFormat="false" ht="27.75" hidden="false" customHeight="true" outlineLevel="0" collapsed="false">
      <c r="A20" s="82" t="s">
        <v>236</v>
      </c>
      <c r="B20" s="83" t="s">
        <v>249</v>
      </c>
      <c r="C20" s="84" t="str">
        <f aca="false">TEXT(Assumptions!D34,"0.0%")</f>
        <v>17.5%</v>
      </c>
      <c r="D20" s="85" t="s">
        <v>237</v>
      </c>
      <c r="E20" s="85" t="s">
        <v>238</v>
      </c>
      <c r="F20" s="85" t="s">
        <v>250</v>
      </c>
    </row>
    <row r="21" customFormat="false" ht="27.75" hidden="false" customHeight="true" outlineLevel="0" collapsed="false">
      <c r="A21" s="78" t="s">
        <v>206</v>
      </c>
      <c r="B21" s="79" t="s">
        <v>251</v>
      </c>
      <c r="C21" s="80" t="s">
        <v>252</v>
      </c>
      <c r="D21" s="81" t="s">
        <v>253</v>
      </c>
      <c r="E21" s="81" t="s">
        <v>254</v>
      </c>
      <c r="F21" s="81" t="s">
        <v>255</v>
      </c>
    </row>
    <row r="22" customFormat="false" ht="27.75" hidden="false" customHeight="true" outlineLevel="0" collapsed="false">
      <c r="A22" s="82" t="s">
        <v>236</v>
      </c>
      <c r="B22" s="83" t="s">
        <v>256</v>
      </c>
      <c r="C22" s="84" t="s">
        <v>257</v>
      </c>
      <c r="D22" s="85" t="s">
        <v>237</v>
      </c>
      <c r="E22" s="85" t="s">
        <v>238</v>
      </c>
      <c r="F22" s="85" t="s">
        <v>258</v>
      </c>
    </row>
    <row r="24" customFormat="false" ht="15" hidden="false" customHeight="true" outlineLevel="0" collapsed="false">
      <c r="B24" s="50" t="s">
        <v>259</v>
      </c>
      <c r="C24" s="86" t="s">
        <v>260</v>
      </c>
      <c r="D24" s="82" t="s">
        <v>261</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4" min="3" style="1" width="18"/>
    <col collapsed="false" customWidth="true" hidden="false" outlineLevel="0" max="5" min="5" style="1" width="3"/>
    <col collapsed="false" customWidth="true" hidden="false" outlineLevel="0" max="6" min="6" style="1" width="40"/>
  </cols>
  <sheetData>
    <row r="1" customFormat="false" ht="27.75" hidden="false" customHeight="true" outlineLevel="0" collapsed="false">
      <c r="A1" s="29" t="s">
        <v>262</v>
      </c>
      <c r="B1" s="29"/>
      <c r="C1" s="29"/>
      <c r="D1" s="29"/>
      <c r="E1" s="29"/>
      <c r="F1" s="29"/>
    </row>
    <row r="2" customFormat="false" ht="15.75" hidden="false" customHeight="true" outlineLevel="0" collapsed="false">
      <c r="A2" s="13" t="s">
        <v>263</v>
      </c>
      <c r="B2" s="13"/>
      <c r="C2" s="13"/>
      <c r="D2" s="13"/>
      <c r="E2" s="13"/>
      <c r="F2" s="13"/>
    </row>
    <row r="4" customFormat="false" ht="15" hidden="false" customHeight="true" outlineLevel="0" collapsed="false">
      <c r="B4" s="87" t="s">
        <v>111</v>
      </c>
      <c r="C4" s="88"/>
    </row>
    <row r="5" customFormat="false" ht="15" hidden="false" customHeight="true" outlineLevel="0" collapsed="false">
      <c r="B5" s="55" t="s">
        <v>264</v>
      </c>
      <c r="C5" s="89" t="n">
        <f aca="false">a_landSF*a_far</f>
        <v>229242</v>
      </c>
      <c r="F5" s="90" t="s">
        <v>265</v>
      </c>
    </row>
    <row r="6" customFormat="false" ht="15" hidden="false" customHeight="true" outlineLevel="0" collapsed="false">
      <c r="B6" s="55" t="s">
        <v>266</v>
      </c>
      <c r="C6" s="89" t="n">
        <f aca="false">-a_ground</f>
        <v>-8000</v>
      </c>
    </row>
    <row r="7" customFormat="false" ht="15" hidden="false" customHeight="true" outlineLevel="0" collapsed="false">
      <c r="B7" s="91" t="s">
        <v>267</v>
      </c>
      <c r="C7" s="92" t="n">
        <f aca="false">C5+C6</f>
        <v>221242</v>
      </c>
    </row>
    <row r="8" customFormat="false" ht="15" hidden="false" customHeight="true" outlineLevel="0" collapsed="false">
      <c r="B8" s="55" t="s">
        <v>268</v>
      </c>
      <c r="C8" s="89" t="n">
        <f aca="false">C7*a_eff</f>
        <v>190268.12</v>
      </c>
      <c r="F8" s="90" t="s">
        <v>269</v>
      </c>
    </row>
    <row r="9" customFormat="false" ht="15" hidden="false" customHeight="true" outlineLevel="0" collapsed="false">
      <c r="B9" s="55" t="s">
        <v>84</v>
      </c>
      <c r="C9" s="89" t="n">
        <f aca="false">ROUND(C7/a_unit,0)</f>
        <v>246</v>
      </c>
      <c r="F9" s="90" t="s">
        <v>270</v>
      </c>
    </row>
    <row r="10" customFormat="false" ht="15" hidden="false" customHeight="true" outlineLevel="0" collapsed="false">
      <c r="B10" s="55" t="s">
        <v>271</v>
      </c>
      <c r="C10" s="89" t="n">
        <f aca="false">a_ground*a_eff</f>
        <v>6880</v>
      </c>
    </row>
    <row r="11" customFormat="false" ht="15" hidden="false" customHeight="true" outlineLevel="0" collapsed="false">
      <c r="B11" s="55" t="s">
        <v>272</v>
      </c>
      <c r="C11" s="89" t="n">
        <f aca="false">ROUND(C9*a_parkratio,0)</f>
        <v>271</v>
      </c>
      <c r="F11" s="90" t="s">
        <v>273</v>
      </c>
    </row>
    <row r="13" customFormat="false" ht="15" hidden="false" customHeight="true" outlineLevel="0" collapsed="false">
      <c r="B13" s="87" t="s">
        <v>274</v>
      </c>
    </row>
    <row r="14" customFormat="false" ht="15" hidden="false" customHeight="true" outlineLevel="0" collapsed="false">
      <c r="B14" s="55" t="s">
        <v>275</v>
      </c>
      <c r="C14" s="93" t="n">
        <f aca="false">C5*a_hard</f>
        <v>60749130</v>
      </c>
      <c r="F14" s="90" t="s">
        <v>276</v>
      </c>
    </row>
    <row r="15" customFormat="false" ht="15" hidden="false" customHeight="true" outlineLevel="0" collapsed="false">
      <c r="B15" s="55" t="s">
        <v>277</v>
      </c>
      <c r="C15" s="93" t="n">
        <f aca="false">C11*a_parkc</f>
        <v>8130000</v>
      </c>
      <c r="F15" s="90" t="s">
        <v>278</v>
      </c>
    </row>
    <row r="16" customFormat="false" ht="15" hidden="false" customHeight="true" outlineLevel="0" collapsed="false">
      <c r="B16" s="55" t="s">
        <v>242</v>
      </c>
      <c r="C16" s="93" t="n">
        <f aca="false">a_demo</f>
        <v>350000</v>
      </c>
      <c r="F16" s="90" t="s">
        <v>279</v>
      </c>
    </row>
    <row r="17" customFormat="false" ht="15" hidden="false" customHeight="true" outlineLevel="0" collapsed="false">
      <c r="B17" s="55" t="s">
        <v>129</v>
      </c>
      <c r="C17" s="93" t="n">
        <f aca="false">a_flood</f>
        <v>650000</v>
      </c>
      <c r="F17" s="90" t="s">
        <v>280</v>
      </c>
    </row>
    <row r="18" customFormat="false" ht="15" hidden="false" customHeight="true" outlineLevel="0" collapsed="false">
      <c r="B18" s="91" t="s">
        <v>281</v>
      </c>
      <c r="C18" s="94" t="n">
        <f aca="false">SUM(C14:C17)</f>
        <v>69879130</v>
      </c>
    </row>
    <row r="19" customFormat="false" ht="15" hidden="false" customHeight="true" outlineLevel="0" collapsed="false">
      <c r="B19" s="55" t="s">
        <v>282</v>
      </c>
      <c r="C19" s="93" t="n">
        <f aca="false">C18*a_soft</f>
        <v>14674617.3</v>
      </c>
      <c r="F19" s="90" t="s">
        <v>283</v>
      </c>
    </row>
    <row r="20" customFormat="false" ht="15" hidden="false" customHeight="true" outlineLevel="0" collapsed="false">
      <c r="B20" s="55" t="s">
        <v>284</v>
      </c>
      <c r="C20" s="93" t="n">
        <f aca="false">(C18+C19)*a_cont</f>
        <v>5073224.838</v>
      </c>
      <c r="F20" s="90" t="s">
        <v>285</v>
      </c>
    </row>
    <row r="21" customFormat="false" ht="15" hidden="false" customHeight="true" outlineLevel="0" collapsed="false">
      <c r="B21" s="91" t="s">
        <v>286</v>
      </c>
      <c r="C21" s="94" t="n">
        <f aca="false">C18+C19+C20</f>
        <v>89626972.138</v>
      </c>
    </row>
    <row r="22" customFormat="false" ht="15" hidden="false" customHeight="true" outlineLevel="0" collapsed="false">
      <c r="B22" s="55" t="s">
        <v>287</v>
      </c>
      <c r="C22" s="93" t="n">
        <f aca="false">C21*a_ltc</f>
        <v>53776183.2828</v>
      </c>
      <c r="F22" s="90" t="s">
        <v>288</v>
      </c>
    </row>
    <row r="23" customFormat="false" ht="15" hidden="false" customHeight="true" outlineLevel="0" collapsed="false">
      <c r="B23" s="55" t="s">
        <v>289</v>
      </c>
      <c r="C23" s="93" t="n">
        <f aca="false">C22*a_rate*(a_loanmo/12)*0.5</f>
        <v>5377618.32828</v>
      </c>
      <c r="F23" s="90" t="s">
        <v>290</v>
      </c>
    </row>
    <row r="24" customFormat="false" ht="15" hidden="false" customHeight="true" outlineLevel="0" collapsed="false">
      <c r="B24" s="95" t="s">
        <v>291</v>
      </c>
      <c r="C24" s="96" t="n">
        <f aca="false">C21+C23</f>
        <v>95004590.46628</v>
      </c>
    </row>
    <row r="26" customFormat="false" ht="15" hidden="false" customHeight="true" outlineLevel="0" collapsed="false">
      <c r="B26" s="87" t="s">
        <v>292</v>
      </c>
    </row>
    <row r="27" customFormat="false" ht="15" hidden="false" customHeight="true" outlineLevel="0" collapsed="false">
      <c r="B27" s="55" t="s">
        <v>293</v>
      </c>
      <c r="C27" s="93" t="n">
        <f aca="false">C8*a_rent*12</f>
        <v>9817834.992</v>
      </c>
      <c r="F27" s="90" t="s">
        <v>294</v>
      </c>
    </row>
    <row r="28" customFormat="false" ht="15" hidden="false" customHeight="true" outlineLevel="0" collapsed="false">
      <c r="B28" s="55" t="s">
        <v>295</v>
      </c>
      <c r="C28" s="93" t="n">
        <f aca="false">C10*a_retrent</f>
        <v>275200</v>
      </c>
      <c r="F28" s="90" t="s">
        <v>296</v>
      </c>
    </row>
    <row r="29" customFormat="false" ht="15" hidden="false" customHeight="true" outlineLevel="0" collapsed="false">
      <c r="B29" s="91" t="s">
        <v>297</v>
      </c>
      <c r="C29" s="94" t="n">
        <f aca="false">C27+C28</f>
        <v>10093034.992</v>
      </c>
    </row>
    <row r="30" customFormat="false" ht="15" hidden="false" customHeight="true" outlineLevel="0" collapsed="false">
      <c r="B30" s="55" t="s">
        <v>298</v>
      </c>
      <c r="C30" s="93" t="n">
        <f aca="false">C29*(1-a_vac)</f>
        <v>9487452.89248</v>
      </c>
      <c r="F30" s="90" t="s">
        <v>299</v>
      </c>
    </row>
    <row r="31" customFormat="false" ht="15" hidden="false" customHeight="true" outlineLevel="0" collapsed="false">
      <c r="B31" s="91" t="s">
        <v>300</v>
      </c>
      <c r="C31" s="97" t="n">
        <f aca="false">C30*(1-a_opex)</f>
        <v>6451467.9668864</v>
      </c>
      <c r="F31" s="90" t="s">
        <v>301</v>
      </c>
    </row>
    <row r="32" customFormat="false" ht="15" hidden="false" customHeight="true" outlineLevel="0" collapsed="false">
      <c r="B32" s="98" t="s">
        <v>58</v>
      </c>
      <c r="C32" s="99" t="n">
        <f aca="false">C31/a_cap</f>
        <v>120588186.296942</v>
      </c>
      <c r="F32" s="90" t="s">
        <v>302</v>
      </c>
    </row>
    <row r="34" customFormat="false" ht="15" hidden="false" customHeight="true" outlineLevel="0" collapsed="false">
      <c r="B34" s="87" t="s">
        <v>303</v>
      </c>
    </row>
    <row r="35" customFormat="false" ht="15" hidden="false" customHeight="true" outlineLevel="0" collapsed="false">
      <c r="B35" s="55" t="s">
        <v>304</v>
      </c>
      <c r="C35" s="93" t="n">
        <f aca="false">(C24)*a_profit</f>
        <v>16625803.331599</v>
      </c>
      <c r="F35" s="90" t="s">
        <v>305</v>
      </c>
    </row>
    <row r="36" customFormat="false" ht="15" hidden="false" customHeight="true" outlineLevel="0" collapsed="false">
      <c r="B36" s="100" t="s">
        <v>306</v>
      </c>
      <c r="C36" s="101" t="n">
        <f aca="false">C32-C24-C35</f>
        <v>8957792.49906303</v>
      </c>
      <c r="F36" s="90" t="s">
        <v>307</v>
      </c>
    </row>
    <row r="37" customFormat="false" ht="15" hidden="false" customHeight="true" outlineLevel="0" collapsed="false">
      <c r="B37" s="91" t="s">
        <v>308</v>
      </c>
      <c r="C37" s="102" t="n">
        <f aca="false">C36/a_landSF</f>
        <v>234.454223023609</v>
      </c>
    </row>
    <row r="39" customFormat="false" ht="15" hidden="false" customHeight="true" outlineLevel="0" collapsed="false">
      <c r="B39" s="87" t="s">
        <v>309</v>
      </c>
    </row>
    <row r="40" customFormat="false" ht="15" hidden="false" customHeight="true" outlineLevel="0" collapsed="false">
      <c r="B40" s="91" t="s">
        <v>55</v>
      </c>
      <c r="C40" s="97" t="n">
        <f aca="false">a_appr</f>
        <v>11100000</v>
      </c>
    </row>
    <row r="41" customFormat="false" ht="15" hidden="false" customHeight="true" outlineLevel="0" collapsed="false">
      <c r="B41" s="91" t="s">
        <v>310</v>
      </c>
      <c r="C41" s="97" t="n">
        <f aca="false">C36-C40</f>
        <v>-2142207.50093697</v>
      </c>
      <c r="F41" s="90" t="s">
        <v>311</v>
      </c>
    </row>
    <row r="42" customFormat="false" ht="15" hidden="false" customHeight="true" outlineLevel="0" collapsed="false">
      <c r="B42" s="91" t="s">
        <v>57</v>
      </c>
      <c r="C42" s="103" t="n">
        <f aca="false">C36/C40-1</f>
        <v>-0.192991666751079</v>
      </c>
    </row>
    <row r="44" customFormat="false" ht="15" hidden="false" customHeight="true" outlineLevel="0" collapsed="false">
      <c r="B44" s="91" t="s">
        <v>312</v>
      </c>
      <c r="C44" s="103" t="n">
        <f aca="false">C36/C40</f>
        <v>0.807008333248921</v>
      </c>
      <c r="F44" s="90" t="s">
        <v>313</v>
      </c>
    </row>
    <row r="45" customFormat="false" ht="15" hidden="false" customHeight="true" outlineLevel="0" collapsed="false">
      <c r="B45" s="104" t="s">
        <v>314</v>
      </c>
      <c r="C45" s="105" t="str">
        <f aca="false">IF(C44&gt;=1,"PROCEED",IF(C44&gt;=0.75,"CAUTION — NEGOTIATE","DO NOT PURSUE"))</f>
        <v>CAUTION — NEGOTIATE</v>
      </c>
    </row>
  </sheetData>
  <mergeCells count="2">
    <mergeCell ref="A1:F1"/>
    <mergeCell ref="A2:F2"/>
  </mergeCells>
  <conditionalFormatting sqref="C45">
    <cfRule type="expression" priority="2" aboveAverage="0" equalAverage="0" bottom="0" percent="0" rank="0" text="" dxfId="6">
      <formula>C44&gt;=1</formula>
    </cfRule>
    <cfRule type="expression" priority="3" aboveAverage="0" equalAverage="0" bottom="0" percent="0" rank="0" text="" dxfId="7">
      <formula>AND(C44&lt;1,C44&gt;=0.75)</formula>
    </cfRule>
    <cfRule type="expression" priority="4" aboveAverage="0" equalAverage="0" bottom="0" percent="0" rank="0" text="" dxfId="8">
      <formula>C44&lt;0.75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4" min="3" style="1" width="20"/>
    <col collapsed="false" customWidth="true" hidden="false" outlineLevel="0" max="5" min="5" style="1" width="18"/>
  </cols>
  <sheetData>
    <row r="1" customFormat="false" ht="27.75" hidden="false" customHeight="true" outlineLevel="0" collapsed="false">
      <c r="A1" s="29" t="s">
        <v>315</v>
      </c>
      <c r="B1" s="29"/>
      <c r="C1" s="29"/>
      <c r="D1" s="29"/>
      <c r="E1" s="29"/>
    </row>
    <row r="2" customFormat="false" ht="15.75" hidden="false" customHeight="true" outlineLevel="0" collapsed="false">
      <c r="A2" s="13" t="s">
        <v>316</v>
      </c>
      <c r="B2" s="13"/>
      <c r="C2" s="13"/>
      <c r="D2" s="13"/>
      <c r="E2" s="13"/>
    </row>
    <row r="4" customFormat="false" ht="15" hidden="false" customHeight="true" outlineLevel="0" collapsed="false">
      <c r="B4" s="31" t="s">
        <v>317</v>
      </c>
      <c r="C4" s="31" t="s">
        <v>318</v>
      </c>
    </row>
    <row r="5" customFormat="false" ht="15" hidden="false" customHeight="true" outlineLevel="0" collapsed="false">
      <c r="B5" s="91" t="s">
        <v>107</v>
      </c>
      <c r="C5" s="106" t="n">
        <f aca="false">a_appr</f>
        <v>11100000</v>
      </c>
    </row>
    <row r="6" customFormat="false" ht="15" hidden="false" customHeight="true" outlineLevel="0" collapsed="false">
      <c r="B6" s="91" t="s">
        <v>319</v>
      </c>
      <c r="C6" s="107" t="n">
        <f aca="false">r_resid</f>
        <v>8957792.49906303</v>
      </c>
    </row>
    <row r="7" customFormat="false" ht="15" hidden="false" customHeight="true" outlineLevel="0" collapsed="false">
      <c r="B7" s="55" t="s">
        <v>320</v>
      </c>
      <c r="C7" s="108" t="n">
        <f aca="false">r_resid-a_appr</f>
        <v>-2142207.50093697</v>
      </c>
    </row>
    <row r="8" customFormat="false" ht="15" hidden="false" customHeight="true" outlineLevel="0" collapsed="false">
      <c r="B8" s="55" t="s">
        <v>321</v>
      </c>
      <c r="C8" s="109" t="n">
        <f aca="false">r_resid/a_appr-1</f>
        <v>-0.192991666751079</v>
      </c>
    </row>
    <row r="9" customFormat="false" ht="15" hidden="false" customHeight="true" outlineLevel="0" collapsed="false">
      <c r="B9" s="55" t="s">
        <v>81</v>
      </c>
      <c r="C9" s="110" t="n">
        <f aca="false">a_appr/a_landSF</f>
        <v>290.522679090219</v>
      </c>
    </row>
    <row r="10" customFormat="false" ht="15" hidden="false" customHeight="true" outlineLevel="0" collapsed="false">
      <c r="B10" s="55" t="s">
        <v>322</v>
      </c>
      <c r="C10" s="111" t="n">
        <f aca="false">r_residpsf</f>
        <v>234.454223023609</v>
      </c>
    </row>
    <row r="13" customFormat="false" ht="15" hidden="false" customHeight="true" outlineLevel="0" collapsed="false">
      <c r="B13" s="50" t="s">
        <v>323</v>
      </c>
    </row>
    <row r="14" customFormat="false" ht="15" hidden="false" customHeight="true" outlineLevel="0" collapsed="false">
      <c r="B14" s="112" t="s">
        <v>87</v>
      </c>
      <c r="C14" s="113" t="n">
        <f aca="false">a_appr</f>
        <v>11100000</v>
      </c>
    </row>
    <row r="15" customFormat="false" ht="15" hidden="false" customHeight="true" outlineLevel="0" collapsed="false">
      <c r="B15" s="112" t="s">
        <v>88</v>
      </c>
      <c r="C15" s="113" t="n">
        <f aca="false">r_resid</f>
        <v>8957792.49906303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5" min="3" style="1" width="16"/>
  </cols>
  <sheetData>
    <row r="1" customFormat="false" ht="27.75" hidden="false" customHeight="true" outlineLevel="0" collapsed="false">
      <c r="A1" s="29" t="s">
        <v>324</v>
      </c>
      <c r="B1" s="29"/>
      <c r="C1" s="29"/>
      <c r="D1" s="29"/>
      <c r="E1" s="29"/>
      <c r="F1" s="29"/>
      <c r="G1" s="29"/>
      <c r="H1" s="29"/>
    </row>
    <row r="2" customFormat="false" ht="15.75" hidden="false" customHeight="true" outlineLevel="0" collapsed="false">
      <c r="A2" s="13" t="s">
        <v>325</v>
      </c>
      <c r="B2" s="13"/>
      <c r="C2" s="13"/>
      <c r="D2" s="13"/>
      <c r="E2" s="13"/>
      <c r="F2" s="13"/>
      <c r="G2" s="13"/>
      <c r="H2" s="13"/>
    </row>
    <row r="4" customFormat="false" ht="15" hidden="false" customHeight="true" outlineLevel="0" collapsed="false">
      <c r="B4" s="31" t="s">
        <v>326</v>
      </c>
      <c r="C4" s="31" t="s">
        <v>327</v>
      </c>
      <c r="D4" s="31" t="s">
        <v>328</v>
      </c>
      <c r="F4" s="114"/>
      <c r="G4" s="114"/>
      <c r="H4" s="114"/>
    </row>
    <row r="5" customFormat="false" ht="15" hidden="false" customHeight="true" outlineLevel="0" collapsed="false">
      <c r="B5" s="115" t="s">
        <v>55</v>
      </c>
      <c r="C5" s="116" t="n">
        <f aca="false">a_appr</f>
        <v>11100000</v>
      </c>
      <c r="D5" s="116" t="n">
        <f aca="false">a_appr</f>
        <v>11100000</v>
      </c>
      <c r="F5" s="112"/>
      <c r="G5" s="113"/>
      <c r="H5" s="1"/>
    </row>
    <row r="6" customFormat="false" ht="15" hidden="false" customHeight="true" outlineLevel="0" collapsed="false">
      <c r="B6" s="55" t="s">
        <v>329</v>
      </c>
      <c r="C6" s="117" t="n">
        <f aca="false">-(a_appr-r_resid)*0.34</f>
        <v>-728350.550318571</v>
      </c>
      <c r="D6" s="118" t="n">
        <f aca="false">D5+C6</f>
        <v>10371649.4496814</v>
      </c>
      <c r="F6" s="112"/>
      <c r="G6" s="113"/>
      <c r="H6" s="1"/>
    </row>
    <row r="7" customFormat="false" ht="15" hidden="false" customHeight="true" outlineLevel="0" collapsed="false">
      <c r="B7" s="55" t="s">
        <v>330</v>
      </c>
      <c r="C7" s="117" t="n">
        <f aca="false">-(a_appr-r_resid)*0.26</f>
        <v>-556973.950243613</v>
      </c>
      <c r="D7" s="118" t="n">
        <f aca="false">D6+C7</f>
        <v>9814675.49943782</v>
      </c>
      <c r="F7" s="112"/>
      <c r="G7" s="113"/>
      <c r="H7" s="1"/>
    </row>
    <row r="8" customFormat="false" ht="15" hidden="false" customHeight="true" outlineLevel="0" collapsed="false">
      <c r="B8" s="55" t="s">
        <v>331</v>
      </c>
      <c r="C8" s="117" t="n">
        <f aca="false">-(a_appr-r_resid)*0.2</f>
        <v>-428441.500187394</v>
      </c>
      <c r="D8" s="118" t="n">
        <f aca="false">D7+C8</f>
        <v>9386233.99925042</v>
      </c>
      <c r="F8" s="112"/>
      <c r="G8" s="113"/>
      <c r="H8" s="1"/>
    </row>
    <row r="9" customFormat="false" ht="15" hidden="false" customHeight="true" outlineLevel="0" collapsed="false">
      <c r="B9" s="55" t="s">
        <v>332</v>
      </c>
      <c r="C9" s="117" t="n">
        <f aca="false">-(a_appr-r_resid)*0.12</f>
        <v>-257064.900112437</v>
      </c>
      <c r="D9" s="118" t="n">
        <f aca="false">D8+C9</f>
        <v>9129169.09913798</v>
      </c>
      <c r="F9" s="1"/>
      <c r="G9" s="1"/>
      <c r="H9" s="1"/>
    </row>
    <row r="10" customFormat="false" ht="15" hidden="false" customHeight="true" outlineLevel="0" collapsed="false">
      <c r="B10" s="55" t="s">
        <v>333</v>
      </c>
      <c r="C10" s="117" t="n">
        <f aca="false">-(a_appr-r_resid)*0.08</f>
        <v>-171376.600074958</v>
      </c>
      <c r="D10" s="118" t="n">
        <f aca="false">D9+C10</f>
        <v>8957792.49906303</v>
      </c>
      <c r="F10" s="1"/>
      <c r="G10" s="1"/>
      <c r="H10" s="1"/>
    </row>
    <row r="11" customFormat="false" ht="15" hidden="false" customHeight="true" outlineLevel="0" collapsed="false">
      <c r="B11" s="100" t="s">
        <v>319</v>
      </c>
      <c r="C11" s="119" t="n">
        <f aca="false">r_resid</f>
        <v>8957792.49906303</v>
      </c>
      <c r="D11" s="119" t="n">
        <f aca="false">r_resid</f>
        <v>8957792.49906303</v>
      </c>
      <c r="F11" s="1"/>
      <c r="G11" s="1"/>
      <c r="H11" s="1"/>
    </row>
    <row r="12" customFormat="false" ht="15" hidden="false" customHeight="true" outlineLevel="0" collapsed="false">
      <c r="B12" s="120"/>
      <c r="C12" s="121"/>
      <c r="D12" s="121"/>
      <c r="F12" s="1"/>
      <c r="G12" s="1"/>
      <c r="H12" s="1"/>
    </row>
    <row r="13" customFormat="false" ht="15" hidden="false" customHeight="true" outlineLevel="0" collapsed="false">
      <c r="B13" s="122" t="s">
        <v>334</v>
      </c>
      <c r="C13" s="123" t="str">
        <f aca="false">IF(ROUND(D10-r_resid,0)=0,"ties OK","CHECK")</f>
        <v>ties OK</v>
      </c>
      <c r="F13" s="1"/>
      <c r="G13" s="1"/>
      <c r="H13" s="1"/>
    </row>
    <row r="14" customFormat="false" ht="15" hidden="false" customHeight="true" outlineLevel="0" collapsed="false">
      <c r="B14" s="50"/>
      <c r="C14" s="124"/>
      <c r="F14" s="1"/>
      <c r="G14" s="1"/>
      <c r="H14" s="1"/>
    </row>
    <row r="15" customFormat="false" ht="15" hidden="false" customHeight="true" outlineLevel="0" collapsed="false">
      <c r="F15" s="125" t="s">
        <v>335</v>
      </c>
      <c r="G15" s="125" t="s">
        <v>336</v>
      </c>
      <c r="H15" s="125" t="s">
        <v>337</v>
      </c>
    </row>
    <row r="16" customFormat="false" ht="15" hidden="false" customHeight="true" outlineLevel="0" collapsed="false">
      <c r="F16" s="126" t="s">
        <v>87</v>
      </c>
      <c r="G16" s="127" t="n">
        <v>0</v>
      </c>
      <c r="H16" s="127" t="n">
        <f aca="false">a_appr</f>
        <v>11100000</v>
      </c>
    </row>
    <row r="17" customFormat="false" ht="15" hidden="false" customHeight="true" outlineLevel="0" collapsed="false">
      <c r="F17" s="126" t="s">
        <v>338</v>
      </c>
      <c r="G17" s="127" t="n">
        <f aca="false">D6</f>
        <v>10371649.4496814</v>
      </c>
      <c r="H17" s="127" t="n">
        <f aca="false">-C6</f>
        <v>728350.550318571</v>
      </c>
    </row>
    <row r="18" customFormat="false" ht="15" hidden="false" customHeight="true" outlineLevel="0" collapsed="false">
      <c r="F18" s="126" t="s">
        <v>339</v>
      </c>
      <c r="G18" s="127" t="n">
        <f aca="false">D7</f>
        <v>9814675.49943782</v>
      </c>
      <c r="H18" s="127" t="n">
        <f aca="false">-C7</f>
        <v>556973.950243613</v>
      </c>
    </row>
    <row r="19" customFormat="false" ht="15" hidden="false" customHeight="true" outlineLevel="0" collapsed="false">
      <c r="F19" s="126" t="s">
        <v>340</v>
      </c>
      <c r="G19" s="127" t="n">
        <f aca="false">D8</f>
        <v>9386233.99925042</v>
      </c>
      <c r="H19" s="127" t="n">
        <f aca="false">-C8</f>
        <v>428441.500187394</v>
      </c>
    </row>
    <row r="20" customFormat="false" ht="15" hidden="false" customHeight="true" outlineLevel="0" collapsed="false">
      <c r="F20" s="126" t="s">
        <v>341</v>
      </c>
      <c r="G20" s="127" t="n">
        <f aca="false">D9</f>
        <v>9129169.09913798</v>
      </c>
      <c r="H20" s="127" t="n">
        <f aca="false">-C9</f>
        <v>257064.900112437</v>
      </c>
    </row>
    <row r="21" customFormat="false" ht="15" hidden="false" customHeight="true" outlineLevel="0" collapsed="false">
      <c r="F21" s="126" t="s">
        <v>342</v>
      </c>
      <c r="G21" s="127" t="n">
        <f aca="false">D10</f>
        <v>8957792.49906303</v>
      </c>
      <c r="H21" s="127" t="n">
        <f aca="false">-C10</f>
        <v>171376.600074958</v>
      </c>
    </row>
    <row r="22" customFormat="false" ht="15" hidden="false" customHeight="true" outlineLevel="0" collapsed="false">
      <c r="F22" s="126" t="s">
        <v>88</v>
      </c>
      <c r="G22" s="127" t="n">
        <v>0</v>
      </c>
      <c r="H22" s="127" t="n">
        <f aca="false">r_resid</f>
        <v>8957792.49906303</v>
      </c>
    </row>
    <row r="23" customFormat="false" ht="15" hidden="false" customHeight="true" outlineLevel="0" collapsed="false">
      <c r="F23" s="1"/>
      <c r="G23" s="1"/>
      <c r="H23" s="1"/>
    </row>
    <row r="24" customFormat="false" ht="15" hidden="false" customHeight="true" outlineLevel="0" collapsed="false">
      <c r="F24" s="1"/>
      <c r="G24" s="1"/>
      <c r="H24" s="1"/>
    </row>
    <row r="25" customFormat="false" ht="15" hidden="false" customHeight="true" outlineLevel="0" collapsed="false">
      <c r="F25" s="1"/>
      <c r="G25" s="1"/>
      <c r="H25" s="1"/>
    </row>
    <row r="26" customFormat="false" ht="15" hidden="false" customHeight="true" outlineLevel="0" collapsed="false">
      <c r="F26" s="1"/>
      <c r="G26" s="1"/>
      <c r="H26" s="1"/>
    </row>
    <row r="27" customFormat="false" ht="15" hidden="false" customHeight="true" outlineLevel="0" collapsed="false">
      <c r="F27" s="1"/>
      <c r="G27" s="1"/>
      <c r="H27" s="1"/>
    </row>
    <row r="28" customFormat="false" ht="15" hidden="false" customHeight="true" outlineLevel="0" collapsed="false">
      <c r="F28" s="1"/>
      <c r="G28" s="1"/>
      <c r="H28" s="1"/>
    </row>
    <row r="29" customFormat="false" ht="15" hidden="false" customHeight="true" outlineLevel="0" collapsed="false">
      <c r="F29" s="1"/>
      <c r="G29" s="1"/>
      <c r="H29" s="1"/>
    </row>
    <row r="30" customFormat="false" ht="15" hidden="false" customHeight="true" outlineLevel="0" collapsed="false">
      <c r="F30" s="1"/>
      <c r="G30" s="1"/>
      <c r="H30" s="1"/>
    </row>
    <row r="31" customFormat="false" ht="15" hidden="false" customHeight="true" outlineLevel="0" collapsed="false">
      <c r="F31" s="1"/>
      <c r="G31" s="1"/>
      <c r="H31" s="1"/>
    </row>
    <row r="32" customFormat="false" ht="15" hidden="false" customHeight="true" outlineLevel="0" collapsed="false">
      <c r="F32" s="1"/>
      <c r="G32" s="1"/>
      <c r="H32" s="1"/>
    </row>
    <row r="33" customFormat="false" ht="15" hidden="false" customHeight="true" outlineLevel="0" collapsed="false">
      <c r="F33" s="1"/>
      <c r="G33" s="1"/>
      <c r="H33" s="1"/>
    </row>
    <row r="34" customFormat="false" ht="15" hidden="false" customHeight="true" outlineLevel="0" collapsed="false">
      <c r="F34" s="1"/>
      <c r="G34" s="1"/>
      <c r="H34" s="1"/>
    </row>
    <row r="35" customFormat="false" ht="15" hidden="false" customHeight="true" outlineLevel="0" collapsed="false">
      <c r="F35" s="1"/>
      <c r="G35" s="1"/>
      <c r="H35" s="1"/>
    </row>
    <row r="36" customFormat="false" ht="15" hidden="false" customHeight="true" outlineLevel="0" collapsed="false">
      <c r="F36" s="1"/>
      <c r="G36" s="1"/>
      <c r="H36" s="1"/>
    </row>
    <row r="37" customFormat="false" ht="15" hidden="false" customHeight="true" outlineLevel="0" collapsed="false">
      <c r="F37" s="1"/>
      <c r="G37" s="1"/>
      <c r="H37" s="1"/>
    </row>
    <row r="38" customFormat="false" ht="15" hidden="false" customHeight="true" outlineLevel="0" collapsed="false">
      <c r="F38" s="1"/>
      <c r="G38" s="1"/>
      <c r="H38" s="1"/>
    </row>
    <row r="39" customFormat="false" ht="15" hidden="false" customHeight="true" outlineLevel="0" collapsed="false">
      <c r="F39" s="1"/>
      <c r="G39" s="1"/>
      <c r="H39" s="1"/>
    </row>
    <row r="40" customFormat="false" ht="15" hidden="false" customHeight="true" outlineLevel="0" collapsed="false">
      <c r="F40" s="1"/>
      <c r="G40" s="1"/>
      <c r="H40" s="1"/>
    </row>
    <row r="41" customFormat="false" ht="15" hidden="false" customHeight="true" outlineLevel="0" collapsed="false">
      <c r="F41" s="1"/>
      <c r="G41" s="1"/>
      <c r="H41" s="1"/>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6" min="3" style="1" width="16"/>
  </cols>
  <sheetData>
    <row r="1" customFormat="false" ht="27.75" hidden="false" customHeight="true" outlineLevel="0" collapsed="false">
      <c r="A1" s="29" t="s">
        <v>343</v>
      </c>
      <c r="B1" s="29"/>
      <c r="C1" s="29"/>
      <c r="D1" s="29"/>
      <c r="E1" s="29"/>
      <c r="F1" s="29"/>
      <c r="G1" s="29"/>
      <c r="H1" s="29"/>
    </row>
    <row r="2" customFormat="false" ht="15.75" hidden="false" customHeight="true" outlineLevel="0" collapsed="false">
      <c r="A2" s="13" t="s">
        <v>344</v>
      </c>
      <c r="B2" s="13"/>
      <c r="C2" s="13"/>
      <c r="D2" s="13"/>
      <c r="E2" s="13"/>
      <c r="F2" s="13"/>
      <c r="G2" s="13"/>
      <c r="H2" s="13"/>
    </row>
    <row r="4" customFormat="false" ht="23.25" hidden="false" customHeight="true" outlineLevel="0" collapsed="false">
      <c r="B4" s="31" t="s">
        <v>317</v>
      </c>
      <c r="C4" s="128" t="s">
        <v>345</v>
      </c>
      <c r="D4" s="128" t="s">
        <v>346</v>
      </c>
      <c r="E4" s="128" t="s">
        <v>347</v>
      </c>
    </row>
    <row r="5" customFormat="false" ht="15" hidden="false" customHeight="true" outlineLevel="0" collapsed="false">
      <c r="B5" s="91" t="s">
        <v>264</v>
      </c>
      <c r="C5" s="129" t="n">
        <f aca="false">a_landSF*4</f>
        <v>152828</v>
      </c>
      <c r="D5" s="129" t="n">
        <f aca="false">a_landSF*6</f>
        <v>229242</v>
      </c>
      <c r="E5" s="129" t="n">
        <f aca="false">a_landSF*8</f>
        <v>305656</v>
      </c>
    </row>
    <row r="6" customFormat="false" ht="15" hidden="false" customHeight="true" outlineLevel="0" collapsed="false">
      <c r="B6" s="55" t="s">
        <v>348</v>
      </c>
      <c r="C6" s="129" t="n">
        <f aca="false">(a_landSF*4-8000)*0.86</f>
        <v>124552.08</v>
      </c>
      <c r="D6" s="129" t="n">
        <f aca="false">(a_landSF*6-8000)*0.86</f>
        <v>190268.12</v>
      </c>
      <c r="E6" s="129" t="n">
        <f aca="false">(a_landSF*8-8000)*0.86</f>
        <v>255984.16</v>
      </c>
    </row>
    <row r="7" customFormat="false" ht="15" hidden="false" customHeight="true" outlineLevel="0" collapsed="false">
      <c r="B7" s="55" t="s">
        <v>84</v>
      </c>
      <c r="C7" s="129" t="n">
        <f aca="false">ROUND((a_landSF*4-8000)/900,0)</f>
        <v>161</v>
      </c>
      <c r="D7" s="129" t="n">
        <f aca="false">ROUND((a_landSF*6-8000)/900,0)</f>
        <v>246</v>
      </c>
      <c r="E7" s="129" t="n">
        <f aca="false">ROUND((a_landSF*8-8000)/900,0)</f>
        <v>331</v>
      </c>
    </row>
    <row r="8" customFormat="false" ht="15" hidden="false" customHeight="true" outlineLevel="0" collapsed="false">
      <c r="B8" s="55" t="s">
        <v>349</v>
      </c>
      <c r="C8" s="129" t="n">
        <f aca="false">ROUND(ROUND((a_landSF*4-8000)/900,0)*1.1,0)</f>
        <v>177</v>
      </c>
      <c r="D8" s="129" t="n">
        <f aca="false">ROUND(ROUND((a_landSF*6-8000)/900,0)*1.1,0)</f>
        <v>271</v>
      </c>
      <c r="E8" s="129" t="n">
        <f aca="false">ROUND(ROUND((a_landSF*8-8000)/900,0)*1.1,0)</f>
        <v>364</v>
      </c>
    </row>
    <row r="11" customFormat="false" ht="15" hidden="false" customHeight="true" outlineLevel="0" collapsed="false">
      <c r="B11" s="50" t="s">
        <v>323</v>
      </c>
    </row>
    <row r="12" customFormat="false" ht="15" hidden="false" customHeight="true" outlineLevel="0" collapsed="false">
      <c r="B12" s="112" t="s">
        <v>350</v>
      </c>
      <c r="C12" s="112" t="s">
        <v>351</v>
      </c>
      <c r="D12" s="112" t="s">
        <v>352</v>
      </c>
    </row>
    <row r="13" customFormat="false" ht="15" hidden="false" customHeight="true" outlineLevel="0" collapsed="false">
      <c r="B13" s="112" t="s">
        <v>353</v>
      </c>
      <c r="C13" s="130" t="n">
        <f aca="false">a_landSF*4</f>
        <v>152828</v>
      </c>
      <c r="D13" s="130" t="n">
        <f aca="false">(a_landSF*4-8000)*0.86</f>
        <v>124552.08</v>
      </c>
    </row>
    <row r="14" customFormat="false" ht="15" hidden="false" customHeight="true" outlineLevel="0" collapsed="false">
      <c r="B14" s="112" t="s">
        <v>354</v>
      </c>
      <c r="C14" s="130" t="n">
        <f aca="false">a_landSF*6</f>
        <v>229242</v>
      </c>
      <c r="D14" s="130" t="n">
        <f aca="false">(a_landSF*6-8000)*0.86</f>
        <v>190268.12</v>
      </c>
    </row>
    <row r="15" customFormat="false" ht="15" hidden="false" customHeight="true" outlineLevel="0" collapsed="false">
      <c r="B15" s="112" t="s">
        <v>355</v>
      </c>
      <c r="C15" s="130" t="n">
        <f aca="false">a_landSF*8</f>
        <v>305656</v>
      </c>
      <c r="D15" s="130" t="n">
        <f aca="false">(a_landSF*8-8000)*0.86</f>
        <v>255984.16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3" min="3" style="1" width="18"/>
    <col collapsed="false" customWidth="true" hidden="false" outlineLevel="0" max="8" min="4" style="1" width="16"/>
  </cols>
  <sheetData>
    <row r="1" customFormat="false" ht="27.75" hidden="false" customHeight="true" outlineLevel="0" collapsed="false">
      <c r="A1" s="29" t="s">
        <v>356</v>
      </c>
      <c r="B1" s="29"/>
      <c r="C1" s="29"/>
      <c r="D1" s="29"/>
      <c r="E1" s="29"/>
      <c r="F1" s="29"/>
      <c r="G1" s="29"/>
      <c r="H1" s="29"/>
    </row>
    <row r="2" customFormat="false" ht="15.75" hidden="false" customHeight="true" outlineLevel="0" collapsed="false">
      <c r="A2" s="13" t="s">
        <v>357</v>
      </c>
      <c r="B2" s="13"/>
      <c r="C2" s="13"/>
      <c r="D2" s="13"/>
      <c r="E2" s="13"/>
      <c r="F2" s="13"/>
      <c r="G2" s="13"/>
      <c r="H2" s="13"/>
    </row>
    <row r="4" customFormat="false" ht="15" hidden="false" customHeight="true" outlineLevel="0" collapsed="false">
      <c r="B4" s="50" t="s">
        <v>358</v>
      </c>
    </row>
    <row r="5" customFormat="false" ht="15" hidden="false" customHeight="true" outlineLevel="0" collapsed="false">
      <c r="B5" s="112" t="s">
        <v>58</v>
      </c>
      <c r="C5" s="131" t="n">
        <f aca="false">r_stabval</f>
        <v>120588186.296942</v>
      </c>
    </row>
    <row r="6" customFormat="false" ht="15" hidden="false" customHeight="true" outlineLevel="0" collapsed="false">
      <c r="B6" s="112" t="s">
        <v>359</v>
      </c>
      <c r="C6" s="131" t="n">
        <f aca="false">r_totdev</f>
        <v>95004590.46628</v>
      </c>
    </row>
    <row r="7" customFormat="false" ht="15" hidden="false" customHeight="true" outlineLevel="0" collapsed="false">
      <c r="B7" s="112" t="s">
        <v>55</v>
      </c>
      <c r="C7" s="131" t="n">
        <f aca="false">a_appr</f>
        <v>11100000</v>
      </c>
    </row>
    <row r="9" customFormat="false" ht="15" hidden="false" customHeight="true" outlineLevel="0" collapsed="false">
      <c r="B9" s="31" t="s">
        <v>360</v>
      </c>
      <c r="C9" s="31" t="s">
        <v>361</v>
      </c>
      <c r="D9" s="31" t="s">
        <v>362</v>
      </c>
    </row>
    <row r="10" customFormat="false" ht="15" hidden="false" customHeight="true" outlineLevel="0" collapsed="false">
      <c r="B10" s="132" t="n">
        <v>0.1</v>
      </c>
      <c r="C10" s="118" t="n">
        <f aca="false">$C$5-$C$6*(1+B10)</f>
        <v>16083136.784034</v>
      </c>
      <c r="D10" s="117" t="n">
        <f aca="false">$C$7</f>
        <v>11100000</v>
      </c>
    </row>
    <row r="11" customFormat="false" ht="15" hidden="false" customHeight="true" outlineLevel="0" collapsed="false">
      <c r="B11" s="132" t="n">
        <v>0.125</v>
      </c>
      <c r="C11" s="118" t="n">
        <f aca="false">$C$5-$C$6*(1+B11)</f>
        <v>13708022.022377</v>
      </c>
      <c r="D11" s="117" t="n">
        <f aca="false">$C$7</f>
        <v>11100000</v>
      </c>
    </row>
    <row r="12" customFormat="false" ht="15" hidden="false" customHeight="true" outlineLevel="0" collapsed="false">
      <c r="B12" s="132" t="n">
        <v>0.15</v>
      </c>
      <c r="C12" s="118" t="n">
        <f aca="false">$C$5-$C$6*(1+B12)</f>
        <v>11332907.26072</v>
      </c>
      <c r="D12" s="117" t="n">
        <f aca="false">$C$7</f>
        <v>11100000</v>
      </c>
    </row>
    <row r="13" customFormat="false" ht="15" hidden="false" customHeight="true" outlineLevel="0" collapsed="false">
      <c r="B13" s="132" t="n">
        <v>0.175</v>
      </c>
      <c r="C13" s="118" t="n">
        <f aca="false">$C$5-$C$6*(1+B13)</f>
        <v>8957792.49906303</v>
      </c>
      <c r="D13" s="117" t="n">
        <f aca="false">$C$7</f>
        <v>11100000</v>
      </c>
    </row>
    <row r="14" customFormat="false" ht="15" hidden="false" customHeight="true" outlineLevel="0" collapsed="false">
      <c r="B14" s="132" t="n">
        <v>0.2</v>
      </c>
      <c r="C14" s="118" t="n">
        <f aca="false">$C$5-$C$6*(1+B14)</f>
        <v>6582677.73740603</v>
      </c>
      <c r="D14" s="117" t="n">
        <f aca="false">$C$7</f>
        <v>11100000</v>
      </c>
    </row>
    <row r="15" customFormat="false" ht="15" hidden="false" customHeight="true" outlineLevel="0" collapsed="false">
      <c r="B15" s="132" t="n">
        <v>0.225</v>
      </c>
      <c r="C15" s="118" t="n">
        <f aca="false">$C$5-$C$6*(1+B15)</f>
        <v>4207562.97574902</v>
      </c>
      <c r="D15" s="117" t="n">
        <f aca="false">$C$7</f>
        <v>11100000</v>
      </c>
    </row>
    <row r="16" customFormat="false" ht="15" hidden="false" customHeight="true" outlineLevel="0" collapsed="false">
      <c r="B16" s="132" t="n">
        <v>0.25</v>
      </c>
      <c r="C16" s="118" t="n">
        <f aca="false">$C$5-$C$6*(1+B16)</f>
        <v>1832448.21409203</v>
      </c>
      <c r="D16" s="117" t="n">
        <f aca="false">$C$7</f>
        <v>11100000</v>
      </c>
    </row>
    <row r="17" customFormat="false" ht="15" hidden="false" customHeight="true" outlineLevel="0" collapsed="false">
      <c r="B17" s="132" t="n">
        <v>0.275</v>
      </c>
      <c r="C17" s="118" t="n">
        <f aca="false">$C$5-$C$6*(1+B17)</f>
        <v>-542666.547564969</v>
      </c>
      <c r="D17" s="117" t="n">
        <f aca="false">$C$7</f>
        <v>11100000</v>
      </c>
    </row>
    <row r="18" customFormat="false" ht="15" hidden="false" customHeight="true" outlineLevel="0" collapsed="false">
      <c r="B18" s="132" t="n">
        <v>0.3</v>
      </c>
      <c r="C18" s="118" t="n">
        <f aca="false">$C$5-$C$6*(1+B18)</f>
        <v>-2917781.30922198</v>
      </c>
      <c r="D18" s="117" t="n">
        <f aca="false">$C$7</f>
        <v>11100000</v>
      </c>
    </row>
    <row r="20" customFormat="false" ht="15" hidden="false" customHeight="true" outlineLevel="0" collapsed="false">
      <c r="B20" s="133" t="s">
        <v>363</v>
      </c>
      <c r="C20" s="133"/>
      <c r="D20" s="133"/>
      <c r="E20" s="133"/>
      <c r="F20" s="133"/>
      <c r="G20" s="133"/>
      <c r="H20" s="133"/>
    </row>
  </sheetData>
  <mergeCells count="3">
    <mergeCell ref="A1:H1"/>
    <mergeCell ref="A2:H2"/>
    <mergeCell ref="B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7" min="3" style="1" width="16"/>
  </cols>
  <sheetData>
    <row r="1" customFormat="false" ht="27.75" hidden="false" customHeight="true" outlineLevel="0" collapsed="false">
      <c r="A1" s="29" t="s">
        <v>364</v>
      </c>
      <c r="B1" s="29"/>
      <c r="C1" s="29"/>
      <c r="D1" s="29"/>
      <c r="E1" s="29"/>
      <c r="F1" s="29"/>
      <c r="G1" s="29"/>
    </row>
    <row r="2" customFormat="false" ht="15.75" hidden="false" customHeight="true" outlineLevel="0" collapsed="false">
      <c r="A2" s="13" t="s">
        <v>365</v>
      </c>
      <c r="B2" s="13"/>
      <c r="C2" s="13"/>
      <c r="D2" s="13"/>
      <c r="E2" s="13"/>
      <c r="F2" s="13"/>
      <c r="G2" s="13"/>
    </row>
    <row r="4" customFormat="false" ht="15" hidden="false" customHeight="true" outlineLevel="0" collapsed="false">
      <c r="B4" s="50" t="s">
        <v>366</v>
      </c>
    </row>
    <row r="5" customFormat="false" ht="15" hidden="false" customHeight="true" outlineLevel="0" collapsed="false">
      <c r="B5" s="112" t="s">
        <v>58</v>
      </c>
      <c r="C5" s="131" t="n">
        <f aca="false">r_stabval</f>
        <v>120588186.296942</v>
      </c>
    </row>
    <row r="6" customFormat="false" ht="15" hidden="false" customHeight="true" outlineLevel="0" collapsed="false">
      <c r="B6" s="112" t="s">
        <v>367</v>
      </c>
      <c r="C6" s="131" t="n">
        <f aca="false">r_costxland</f>
        <v>89626972.138</v>
      </c>
    </row>
    <row r="7" customFormat="false" ht="15" hidden="false" customHeight="true" outlineLevel="0" collapsed="false">
      <c r="B7" s="112" t="s">
        <v>368</v>
      </c>
      <c r="C7" s="134" t="n">
        <f aca="false">a_ltc</f>
        <v>0.6</v>
      </c>
    </row>
    <row r="8" customFormat="false" ht="15" hidden="false" customHeight="true" outlineLevel="0" collapsed="false">
      <c r="B8" s="112" t="s">
        <v>369</v>
      </c>
      <c r="C8" s="135" t="n">
        <f aca="false">a_loanmo</f>
        <v>30</v>
      </c>
    </row>
    <row r="9" customFormat="false" ht="15" hidden="false" customHeight="true" outlineLevel="0" collapsed="false">
      <c r="B9" s="112" t="s">
        <v>360</v>
      </c>
      <c r="C9" s="134" t="n">
        <f aca="false">a_profit</f>
        <v>0.175</v>
      </c>
    </row>
    <row r="10" customFormat="false" ht="15" hidden="false" customHeight="true" outlineLevel="0" collapsed="false">
      <c r="B10" s="112" t="s">
        <v>370</v>
      </c>
      <c r="C10" s="136" t="n">
        <f aca="false">a_hard</f>
        <v>265</v>
      </c>
    </row>
    <row r="11" customFormat="false" ht="15" hidden="false" customHeight="true" outlineLevel="0" collapsed="false">
      <c r="B11" s="112" t="s">
        <v>371</v>
      </c>
      <c r="C11" s="135" t="n">
        <f aca="false">r_gba</f>
        <v>229242</v>
      </c>
    </row>
    <row r="13" customFormat="false" ht="15" hidden="false" customHeight="true" outlineLevel="0" collapsed="false">
      <c r="B13" s="50" t="s">
        <v>372</v>
      </c>
      <c r="C13" s="137" t="n">
        <f aca="false">r_costxland/'Residual Land Value'!C18</f>
        <v>1.2826</v>
      </c>
    </row>
    <row r="15" customFormat="false" ht="21.75" hidden="false" customHeight="true" outlineLevel="0" collapsed="false">
      <c r="B15" s="138" t="s">
        <v>373</v>
      </c>
      <c r="C15" s="139" t="n">
        <f aca="false">$C$10+(-30)</f>
        <v>235</v>
      </c>
      <c r="D15" s="139" t="n">
        <f aca="false">$C$10+(-15)</f>
        <v>250</v>
      </c>
      <c r="E15" s="139" t="n">
        <f aca="false">$C$10+(0)</f>
        <v>265</v>
      </c>
      <c r="F15" s="139" t="n">
        <f aca="false">$C$10+(15)</f>
        <v>280</v>
      </c>
      <c r="G15" s="139" t="n">
        <f aca="false">$C$10+(30)</f>
        <v>295</v>
      </c>
    </row>
    <row r="16" customFormat="false" ht="15" hidden="false" customHeight="true" outlineLevel="0" collapsed="false">
      <c r="B16" s="140" t="n">
        <v>0.06</v>
      </c>
      <c r="C16" s="141" t="n">
        <f aca="false">$C$5-(($C$6+(-30)*$C$11*$C$13)+(($C$6+(-30)*$C$11*$C$13)*$C$7*B16*($C$8/12)*0.5))*(1+$C$9)</f>
        <v>21368275.3604138</v>
      </c>
      <c r="D16" s="141" t="n">
        <f aca="false">$C$5-(($C$6+(-15)*$C$11*$C$13)+(($C$6+(-15)*$C$11*$C$13)*$C$7*B16*($C$8/12)*0.5))*(1+$C$9)</f>
        <v>15952871.6217045</v>
      </c>
      <c r="E16" s="141" t="n">
        <f aca="false">$C$5-(($C$6+(0)*$C$11*$C$13)+(($C$6+(0)*$C$11*$C$13)*$C$7*B16*($C$8/12)*0.5))*(1+$C$9)</f>
        <v>10537467.8829953</v>
      </c>
      <c r="F16" s="141" t="n">
        <f aca="false">$C$5-(($C$6+(15)*$C$11*$C$13)+(($C$6+(15)*$C$11*$C$13)*$C$7*B16*($C$8/12)*0.5))*(1+$C$9)</f>
        <v>5122064.14428604</v>
      </c>
      <c r="G16" s="141" t="n">
        <f aca="false">$C$5-(($C$6+(30)*$C$11*$C$13)+(($C$6+(30)*$C$11*$C$13)*$C$7*B16*($C$8/12)*0.5))*(1+$C$9)</f>
        <v>-293339.59442322</v>
      </c>
    </row>
    <row r="17" customFormat="false" ht="15" hidden="false" customHeight="true" outlineLevel="0" collapsed="false">
      <c r="B17" s="140" t="n">
        <v>0.07</v>
      </c>
      <c r="C17" s="141" t="n">
        <f aca="false">$C$5-(($C$6+(-30)*$C$11*$C$13)+(($C$6+(-30)*$C$11*$C$13)*$C$7*B17*($C$8/12)*0.5))*(1+$C$9)</f>
        <v>20656170.7364674</v>
      </c>
      <c r="D17" s="141" t="n">
        <f aca="false">$C$5-(($C$6+(-15)*$C$11*$C$13)+(($C$6+(-15)*$C$11*$C$13)*$C$7*B17*($C$8/12)*0.5))*(1+$C$9)</f>
        <v>15201900.4637483</v>
      </c>
      <c r="E17" s="141" t="n">
        <f aca="false">$C$5-(($C$6+(0)*$C$11*$C$13)+(($C$6+(0)*$C$11*$C$13)*$C$7*B17*($C$8/12)*0.5))*(1+$C$9)</f>
        <v>9747630.19102915</v>
      </c>
      <c r="F17" s="141" t="n">
        <f aca="false">$C$5-(($C$6+(15)*$C$11*$C$13)+(($C$6+(15)*$C$11*$C$13)*$C$7*B17*($C$8/12)*0.5))*(1+$C$9)</f>
        <v>4293359.91831003</v>
      </c>
      <c r="G17" s="141" t="n">
        <f aca="false">$C$5-(($C$6+(30)*$C$11*$C$13)+(($C$6+(30)*$C$11*$C$13)*$C$7*B17*($C$8/12)*0.5))*(1+$C$9)</f>
        <v>-1160910.35440911</v>
      </c>
    </row>
    <row r="18" customFormat="false" ht="15" hidden="false" customHeight="true" outlineLevel="0" collapsed="false">
      <c r="B18" s="140" t="n">
        <v>0.08</v>
      </c>
      <c r="C18" s="141" t="n">
        <f aca="false">$C$5-(($C$6+(-30)*$C$11*$C$13)+(($C$6+(-30)*$C$11*$C$13)*$C$7*B18*($C$8/12)*0.5))*(1+$C$9)</f>
        <v>19944066.112521</v>
      </c>
      <c r="D18" s="141" t="n">
        <f aca="false">$C$5-(($C$6+(-15)*$C$11*$C$13)+(($C$6+(-15)*$C$11*$C$13)*$C$7*B18*($C$8/12)*0.5))*(1+$C$9)</f>
        <v>14450929.305792</v>
      </c>
      <c r="E18" s="141" t="n">
        <f aca="false">$C$5-(($C$6+(0)*$C$11*$C$13)+(($C$6+(0)*$C$11*$C$13)*$C$7*B18*($C$8/12)*0.5))*(1+$C$9)</f>
        <v>8957792.49906303</v>
      </c>
      <c r="F18" s="141" t="n">
        <f aca="false">$C$5-(($C$6+(15)*$C$11*$C$13)+(($C$6+(15)*$C$11*$C$13)*$C$7*B18*($C$8/12)*0.5))*(1+$C$9)</f>
        <v>3464655.69233403</v>
      </c>
      <c r="G18" s="141" t="n">
        <f aca="false">$C$5-(($C$6+(30)*$C$11*$C$13)+(($C$6+(30)*$C$11*$C$13)*$C$7*B18*($C$8/12)*0.5))*(1+$C$9)</f>
        <v>-2028481.11439498</v>
      </c>
    </row>
    <row r="19" customFormat="false" ht="15" hidden="false" customHeight="true" outlineLevel="0" collapsed="false">
      <c r="B19" s="140" t="n">
        <v>0.09</v>
      </c>
      <c r="C19" s="141" t="n">
        <f aca="false">$C$5-(($C$6+(-30)*$C$11*$C$13)+(($C$6+(-30)*$C$11*$C$13)*$C$7*B19*($C$8/12)*0.5))*(1+$C$9)</f>
        <v>19231961.4885747</v>
      </c>
      <c r="D19" s="141" t="n">
        <f aca="false">$C$5-(($C$6+(-15)*$C$11*$C$13)+(($C$6+(-15)*$C$11*$C$13)*$C$7*B19*($C$8/12)*0.5))*(1+$C$9)</f>
        <v>13699958.1478358</v>
      </c>
      <c r="E19" s="141" t="n">
        <f aca="false">$C$5-(($C$6+(0)*$C$11*$C$13)+(($C$6+(0)*$C$11*$C$13)*$C$7*B19*($C$8/12)*0.5))*(1+$C$9)</f>
        <v>8167954.8070969</v>
      </c>
      <c r="F19" s="141" t="n">
        <f aca="false">$C$5-(($C$6+(15)*$C$11*$C$13)+(($C$6+(15)*$C$11*$C$13)*$C$7*B19*($C$8/12)*0.5))*(1+$C$9)</f>
        <v>2635951.46635802</v>
      </c>
      <c r="G19" s="141" t="n">
        <f aca="false">$C$5-(($C$6+(30)*$C$11*$C$13)+(($C$6+(30)*$C$11*$C$13)*$C$7*B19*($C$8/12)*0.5))*(1+$C$9)</f>
        <v>-2896051.87438086</v>
      </c>
    </row>
    <row r="21" customFormat="false" ht="15" hidden="false" customHeight="true" outlineLevel="0" collapsed="false">
      <c r="B21" s="133" t="s">
        <v>374</v>
      </c>
      <c r="C21" s="133"/>
      <c r="D21" s="133"/>
      <c r="E21" s="133"/>
      <c r="F21" s="133"/>
      <c r="G21" s="133"/>
    </row>
  </sheetData>
  <mergeCells count="3">
    <mergeCell ref="A1:G1"/>
    <mergeCell ref="A2:G2"/>
    <mergeCell ref="B21:G21"/>
  </mergeCells>
  <conditionalFormatting sqref="C16:G19">
    <cfRule type="colorScale" priority="2">
      <colorScale>
        <cfvo type="num" val="-5000000"/>
        <cfvo type="num" val="8000000"/>
        <cfvo type="num" val="20000000"/>
        <color rgb="FFC00000"/>
        <color rgb="FFF2F2F2"/>
        <color rgb="FF548235"/>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4"/>
    <col collapsed="false" customWidth="true" hidden="false" outlineLevel="0" max="4" min="4" style="1" width="48"/>
  </cols>
  <sheetData>
    <row r="1" customFormat="false" ht="27.75" hidden="false" customHeight="true" outlineLevel="0" collapsed="false">
      <c r="A1" s="29" t="s">
        <v>375</v>
      </c>
      <c r="B1" s="29"/>
      <c r="C1" s="29"/>
      <c r="D1" s="29"/>
    </row>
    <row r="2" customFormat="false" ht="15.75" hidden="false" customHeight="true" outlineLevel="0" collapsed="false">
      <c r="A2" s="13" t="s">
        <v>376</v>
      </c>
      <c r="B2" s="13"/>
      <c r="C2" s="13"/>
      <c r="D2" s="13"/>
    </row>
    <row r="4" customFormat="false" ht="15" hidden="false" customHeight="true" outlineLevel="0" collapsed="false">
      <c r="B4" s="31" t="s">
        <v>377</v>
      </c>
      <c r="C4" s="31" t="s">
        <v>378</v>
      </c>
      <c r="D4" s="31" t="s">
        <v>379</v>
      </c>
    </row>
    <row r="5" customFormat="false" ht="30" hidden="false" customHeight="true" outlineLevel="0" collapsed="false">
      <c r="B5" s="91" t="s">
        <v>380</v>
      </c>
      <c r="C5" s="142" t="s">
        <v>381</v>
      </c>
      <c r="D5" s="81" t="s">
        <v>382</v>
      </c>
    </row>
    <row r="6" customFormat="false" ht="30" hidden="false" customHeight="true" outlineLevel="0" collapsed="false">
      <c r="B6" s="91" t="s">
        <v>383</v>
      </c>
      <c r="C6" s="142" t="s">
        <v>381</v>
      </c>
      <c r="D6" s="81" t="s">
        <v>384</v>
      </c>
    </row>
    <row r="7" customFormat="false" ht="30" hidden="false" customHeight="true" outlineLevel="0" collapsed="false">
      <c r="B7" s="91" t="s">
        <v>385</v>
      </c>
      <c r="C7" s="143" t="s">
        <v>386</v>
      </c>
      <c r="D7" s="81" t="s">
        <v>387</v>
      </c>
    </row>
    <row r="8" customFormat="false" ht="30" hidden="false" customHeight="true" outlineLevel="0" collapsed="false">
      <c r="B8" s="91" t="s">
        <v>388</v>
      </c>
      <c r="C8" s="143" t="s">
        <v>386</v>
      </c>
      <c r="D8" s="81" t="s">
        <v>389</v>
      </c>
    </row>
    <row r="9" customFormat="false" ht="30" hidden="false" customHeight="true" outlineLevel="0" collapsed="false">
      <c r="B9" s="91" t="s">
        <v>390</v>
      </c>
      <c r="C9" s="142" t="s">
        <v>381</v>
      </c>
      <c r="D9" s="81" t="s">
        <v>391</v>
      </c>
    </row>
    <row r="10" customFormat="false" ht="30" hidden="false" customHeight="true" outlineLevel="0" collapsed="false">
      <c r="B10" s="91" t="s">
        <v>392</v>
      </c>
      <c r="C10" s="142" t="s">
        <v>381</v>
      </c>
      <c r="D10" s="81" t="s">
        <v>393</v>
      </c>
    </row>
    <row r="11" customFormat="false" ht="30" hidden="false" customHeight="true" outlineLevel="0" collapsed="false">
      <c r="B11" s="91" t="s">
        <v>394</v>
      </c>
      <c r="C11" s="143" t="s">
        <v>386</v>
      </c>
      <c r="D11" s="81" t="s">
        <v>395</v>
      </c>
    </row>
    <row r="12" customFormat="false" ht="21.75" hidden="false" customHeight="true" outlineLevel="0" collapsed="false">
      <c r="B12" s="104" t="s">
        <v>396</v>
      </c>
      <c r="C12" s="144" t="s">
        <v>397</v>
      </c>
      <c r="D12" s="81" t="s">
        <v>398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6" min="3" style="1" width="16"/>
  </cols>
  <sheetData>
    <row r="1" customFormat="false" ht="27.75" hidden="false" customHeight="true" outlineLevel="0" collapsed="false">
      <c r="A1" s="29" t="s">
        <v>399</v>
      </c>
      <c r="B1" s="29"/>
      <c r="C1" s="29"/>
      <c r="D1" s="29"/>
      <c r="E1" s="29"/>
      <c r="F1" s="29"/>
      <c r="G1" s="29"/>
      <c r="H1" s="29"/>
    </row>
    <row r="2" customFormat="false" ht="15.75" hidden="false" customHeight="true" outlineLevel="0" collapsed="false">
      <c r="A2" s="13" t="s">
        <v>400</v>
      </c>
      <c r="B2" s="13"/>
      <c r="C2" s="13"/>
      <c r="D2" s="13"/>
      <c r="E2" s="13"/>
      <c r="F2" s="13"/>
      <c r="G2" s="13"/>
      <c r="H2" s="13"/>
    </row>
    <row r="4" customFormat="false" ht="15" hidden="false" customHeight="true" outlineLevel="0" collapsed="false">
      <c r="B4" s="50" t="s">
        <v>401</v>
      </c>
    </row>
    <row r="5" customFormat="false" ht="15" hidden="false" customHeight="true" outlineLevel="0" collapsed="false">
      <c r="B5" s="112" t="s">
        <v>402</v>
      </c>
      <c r="C5" s="131" t="n">
        <f aca="false">r_resid</f>
        <v>8957792.49906303</v>
      </c>
    </row>
    <row r="6" customFormat="false" ht="15" hidden="false" customHeight="true" outlineLevel="0" collapsed="false">
      <c r="B6" s="112" t="s">
        <v>403</v>
      </c>
      <c r="C6" s="131" t="n">
        <f aca="false">r_stabval</f>
        <v>120588186.296942</v>
      </c>
    </row>
    <row r="7" customFormat="false" ht="15" hidden="false" customHeight="true" outlineLevel="0" collapsed="false">
      <c r="B7" s="112" t="s">
        <v>404</v>
      </c>
      <c r="C7" s="131" t="n">
        <f aca="false">r_noi</f>
        <v>6451467.9668864</v>
      </c>
    </row>
    <row r="8" customFormat="false" ht="15" hidden="false" customHeight="true" outlineLevel="0" collapsed="false">
      <c r="B8" s="112" t="s">
        <v>405</v>
      </c>
      <c r="C8" s="131" t="n">
        <f aca="false">r_totdev</f>
        <v>95004590.46628</v>
      </c>
    </row>
    <row r="9" customFormat="false" ht="15" hidden="false" customHeight="true" outlineLevel="0" collapsed="false">
      <c r="B9" s="112" t="s">
        <v>406</v>
      </c>
      <c r="C9" s="135" t="n">
        <f aca="false">r_gba</f>
        <v>229242</v>
      </c>
    </row>
    <row r="10" customFormat="false" ht="15" hidden="false" customHeight="true" outlineLevel="0" collapsed="false">
      <c r="B10" s="112" t="s">
        <v>407</v>
      </c>
      <c r="C10" s="137" t="n">
        <f aca="false">r_costxland/'Residual Land Value'!C18</f>
        <v>1.2826</v>
      </c>
    </row>
    <row r="12" customFormat="false" ht="15" hidden="false" customHeight="true" outlineLevel="0" collapsed="false">
      <c r="B12" s="31" t="s">
        <v>408</v>
      </c>
      <c r="C12" s="31" t="s">
        <v>409</v>
      </c>
      <c r="D12" s="31" t="s">
        <v>410</v>
      </c>
      <c r="E12" s="31" t="s">
        <v>411</v>
      </c>
    </row>
    <row r="13" customFormat="false" ht="15" hidden="false" customHeight="true" outlineLevel="0" collapsed="false">
      <c r="B13" s="55" t="s">
        <v>142</v>
      </c>
      <c r="C13" s="145" t="n">
        <f aca="false">$C$7/Assumptions!C29-($C$8)*(1+a_profit)</f>
        <v>3574391.32509241</v>
      </c>
      <c r="D13" s="145" t="n">
        <f aca="false">$C$7/Assumptions!E29-($C$8)*(1+a_profit)</f>
        <v>13640828.8601093</v>
      </c>
      <c r="E13" s="146" t="n">
        <f aca="false">ABS(D13-C13)</f>
        <v>10066437.5350169</v>
      </c>
    </row>
    <row r="14" customFormat="false" ht="15" hidden="false" customHeight="true" outlineLevel="0" collapsed="false">
      <c r="B14" s="55" t="s">
        <v>412</v>
      </c>
      <c r="C14" s="145" t="n">
        <f aca="false">$C$6-($C$8+(Assumptions!C18-a_hard)*$C$9*$C$10)*(1+a_profit)+($C$8)*(a_profit-a_profit)</f>
        <v>4466548.56903303</v>
      </c>
      <c r="D14" s="145" t="n">
        <f aca="false">$C$6-($C$8+(Assumptions!E18-a_hard)*$C$9*$C$10)*(1+a_profit)</f>
        <v>12067115.219853</v>
      </c>
      <c r="E14" s="146" t="n">
        <f aca="false">ABS(D14-C14)</f>
        <v>7600566.65081999</v>
      </c>
    </row>
    <row r="15" customFormat="false" ht="15" hidden="false" customHeight="true" outlineLevel="0" collapsed="false">
      <c r="B15" s="55" t="s">
        <v>413</v>
      </c>
      <c r="C15" s="145" t="n">
        <f aca="false">($C$7*(Assumptions!C25/a_rent))/a_cap-($C$8)*(1+a_profit)</f>
        <v>3909914.93314452</v>
      </c>
      <c r="D15" s="145" t="n">
        <f aca="false">($C$7*(Assumptions!E25/a_rent))/a_cap-($C$8)*(1+a_profit)</f>
        <v>13164357.1373285</v>
      </c>
      <c r="E15" s="146" t="n">
        <f aca="false">ABS(D15-C15)</f>
        <v>9254442.20418394</v>
      </c>
    </row>
    <row r="16" customFormat="false" ht="15" hidden="false" customHeight="true" outlineLevel="0" collapsed="false">
      <c r="B16" s="55" t="s">
        <v>249</v>
      </c>
      <c r="C16" s="145" t="n">
        <f aca="false">$C$6-$C$8*(1+Assumptions!C34)</f>
        <v>6582677.73740603</v>
      </c>
      <c r="D16" s="145" t="n">
        <f aca="false">$C$6-$C$8*(1+Assumptions!E34)</f>
        <v>11332907.26072</v>
      </c>
      <c r="E16" s="146" t="n">
        <f aca="false">ABS(D16-C16)</f>
        <v>4750229.523314</v>
      </c>
    </row>
    <row r="17" customFormat="false" ht="15" hidden="false" customHeight="true" outlineLevel="0" collapsed="false">
      <c r="B17" s="55" t="s">
        <v>414</v>
      </c>
      <c r="C17" s="145" t="n">
        <f aca="false">$C$6-($C$8+($C$8*0+ (a_ltc*( (Assumptions!C32-a_rate))*(a_loanmo/12)*0.5*r_costxland)))*(1+a_profit)+($C$8)*0</f>
        <v>8562873.65307996</v>
      </c>
      <c r="D17" s="145" t="n">
        <f aca="false">$C$6-($C$8+(a_ltc*((Assumptions!E32-a_rate))*(a_loanmo/12)*0.5*r_costxland))*(1+a_profit)</f>
        <v>9352711.34504609</v>
      </c>
      <c r="E17" s="146" t="n">
        <f aca="false">ABS(D17-C17)</f>
        <v>789837.691966131</v>
      </c>
    </row>
    <row r="18" customFormat="false" ht="15" hidden="false" customHeight="true" outlineLevel="0" collapsed="false">
      <c r="B18" s="55" t="s">
        <v>415</v>
      </c>
      <c r="C18" s="145" t="n">
        <f aca="false">($C$7*((1-Assumptions!C27)*(1-Assumptions!C28))/((1-a_vac)*(1-a_opex)))/a_cap-$C$8*(1+a_profit)</f>
        <v>4165959.06360883</v>
      </c>
      <c r="D18" s="145" t="n">
        <f aca="false">($C$7*((1-Assumptions!E27)*(1-Assumptions!E28))/((1-a_vac)*(1-a_opex)))/a_cap-$C$8*(1+a_profit)</f>
        <v>13825087.8783827</v>
      </c>
      <c r="E18" s="146" t="n">
        <f aca="false">ABS(D18-C18)</f>
        <v>9659128.81477386</v>
      </c>
    </row>
    <row r="19" customFormat="false" ht="15" hidden="false" customHeight="true" outlineLevel="0" collapsed="false">
      <c r="B19" s="55" t="s">
        <v>416</v>
      </c>
      <c r="C19" s="145" t="n">
        <f aca="false">($C$7*(Assumptions!C14/a_eff))/a_cap-$C$8*(1+a_profit)</f>
        <v>7555604.28630789</v>
      </c>
      <c r="D19" s="145" t="n">
        <f aca="false">($C$7*(Assumptions!E14/a_eff))/a_cap-$C$8*(1+a_profit)</f>
        <v>10359980.7118182</v>
      </c>
      <c r="E19" s="146" t="n">
        <f aca="false">ABS(D19-C19)</f>
        <v>2804376.42551029</v>
      </c>
    </row>
    <row r="21" customFormat="false" ht="15" hidden="false" customHeight="true" outlineLevel="0" collapsed="false">
      <c r="B21" s="133" t="s">
        <v>417</v>
      </c>
      <c r="C21" s="133"/>
      <c r="D21" s="133"/>
      <c r="E21" s="133"/>
      <c r="F21" s="133"/>
    </row>
  </sheetData>
  <mergeCells count="3">
    <mergeCell ref="A1:H1"/>
    <mergeCell ref="A2:H2"/>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18"/>
    <col collapsed="false" customWidth="true" hidden="false" outlineLevel="0" max="4" min="4" style="1" width="4"/>
    <col collapsed="false" customWidth="true" hidden="false" outlineLevel="0" max="5" min="5" style="1" width="30"/>
    <col collapsed="false" customWidth="true" hidden="false" outlineLevel="0" max="6" min="6" style="1" width="18"/>
  </cols>
  <sheetData>
    <row r="1" customFormat="false" ht="27.75" hidden="false" customHeight="true" outlineLevel="0" collapsed="false">
      <c r="A1" s="29" t="s">
        <v>418</v>
      </c>
      <c r="B1" s="29"/>
      <c r="C1" s="29"/>
      <c r="D1" s="29"/>
      <c r="E1" s="29"/>
      <c r="F1" s="29"/>
    </row>
    <row r="2" customFormat="false" ht="15.75" hidden="false" customHeight="true" outlineLevel="0" collapsed="false">
      <c r="A2" s="13" t="s">
        <v>419</v>
      </c>
      <c r="B2" s="13"/>
      <c r="C2" s="13"/>
      <c r="D2" s="13"/>
      <c r="E2" s="13"/>
      <c r="F2" s="13"/>
    </row>
    <row r="4" customFormat="false" ht="15" hidden="false" customHeight="true" outlineLevel="0" collapsed="false">
      <c r="B4" s="104" t="s">
        <v>420</v>
      </c>
      <c r="C4" s="104"/>
      <c r="E4" s="104" t="s">
        <v>421</v>
      </c>
      <c r="F4" s="104"/>
    </row>
    <row r="5" customFormat="false" ht="15" hidden="false" customHeight="true" outlineLevel="0" collapsed="false">
      <c r="B5" s="55" t="s">
        <v>422</v>
      </c>
      <c r="C5" s="118" t="n">
        <f aca="false">a_trans*a_pkrev*12</f>
        <v>528000</v>
      </c>
      <c r="E5" s="91" t="s">
        <v>423</v>
      </c>
      <c r="F5" s="147" t="n">
        <f aca="false">C14</f>
        <v>813500</v>
      </c>
    </row>
    <row r="6" customFormat="false" ht="15" hidden="false" customHeight="true" outlineLevel="0" collapsed="false">
      <c r="B6" s="55" t="s">
        <v>424</v>
      </c>
      <c r="C6" s="118" t="n">
        <f aca="false">a_fleet*a_flrev*12</f>
        <v>660000</v>
      </c>
      <c r="E6" s="91" t="s">
        <v>425</v>
      </c>
      <c r="F6" s="147" t="n">
        <f aca="false">r_resid</f>
        <v>8957792.49906303</v>
      </c>
    </row>
    <row r="7" customFormat="false" ht="15" hidden="false" customHeight="true" outlineLevel="0" collapsed="false">
      <c r="B7" s="55" t="s">
        <v>426</v>
      </c>
      <c r="C7" s="118" t="n">
        <f aca="false">a_ev*a_evrev*12</f>
        <v>285000</v>
      </c>
      <c r="E7" s="91" t="s">
        <v>55</v>
      </c>
      <c r="F7" s="147" t="n">
        <f aca="false">a_appr</f>
        <v>11100000</v>
      </c>
    </row>
    <row r="8" customFormat="false" ht="15" hidden="false" customHeight="true" outlineLevel="0" collapsed="false">
      <c r="B8" s="55" t="s">
        <v>427</v>
      </c>
      <c r="C8" s="118" t="n">
        <f aca="false">a_anc</f>
        <v>180000</v>
      </c>
    </row>
    <row r="9" customFormat="false" ht="15" hidden="false" customHeight="true" outlineLevel="0" collapsed="false">
      <c r="B9" s="95" t="s">
        <v>428</v>
      </c>
      <c r="C9" s="148" t="n">
        <f aca="false">SUM(C5:C8)</f>
        <v>1653000</v>
      </c>
    </row>
    <row r="10" customFormat="false" ht="15" hidden="false" customHeight="true" outlineLevel="0" collapsed="false">
      <c r="B10" s="55" t="s">
        <v>429</v>
      </c>
      <c r="C10" s="117" t="n">
        <f aca="false">-C9*a_hubopex</f>
        <v>-578550</v>
      </c>
      <c r="E10" s="50" t="s">
        <v>323</v>
      </c>
    </row>
    <row r="11" customFormat="false" ht="15" hidden="false" customHeight="true" outlineLevel="0" collapsed="false">
      <c r="B11" s="149" t="s">
        <v>300</v>
      </c>
      <c r="C11" s="150" t="n">
        <f aca="false">C9+C10</f>
        <v>1074450</v>
      </c>
      <c r="E11" s="112" t="s">
        <v>430</v>
      </c>
      <c r="F11" s="151" t="n">
        <f aca="false">C14</f>
        <v>813500</v>
      </c>
    </row>
    <row r="12" customFormat="false" ht="15" hidden="false" customHeight="true" outlineLevel="0" collapsed="false">
      <c r="B12" s="98" t="s">
        <v>431</v>
      </c>
      <c r="C12" s="152" t="n">
        <f aca="false">C11/a_hubcap</f>
        <v>14326000</v>
      </c>
      <c r="E12" s="112" t="s">
        <v>432</v>
      </c>
      <c r="F12" s="151" t="n">
        <f aca="false">r_resid</f>
        <v>8957792.49906303</v>
      </c>
    </row>
    <row r="13" customFormat="false" ht="15" hidden="false" customHeight="true" outlineLevel="0" collapsed="false">
      <c r="B13" s="55" t="s">
        <v>433</v>
      </c>
      <c r="C13" s="118" t="n">
        <f aca="false">(a_trans+a_fleet+a_ev)*a_parkc+a_demo+a_flood</f>
        <v>11500000</v>
      </c>
      <c r="E13" s="112" t="s">
        <v>87</v>
      </c>
      <c r="F13" s="151" t="n">
        <f aca="false">a_appr</f>
        <v>11100000</v>
      </c>
    </row>
    <row r="14" customFormat="false" ht="15" hidden="false" customHeight="true" outlineLevel="0" collapsed="false">
      <c r="B14" s="153" t="s">
        <v>434</v>
      </c>
      <c r="C14" s="154" t="n">
        <f aca="false">C12-C13*(1+a_profit)</f>
        <v>813500</v>
      </c>
    </row>
  </sheetData>
  <mergeCells count="4">
    <mergeCell ref="A1:F1"/>
    <mergeCell ref="A2:F2"/>
    <mergeCell ref="B4:C4"/>
    <mergeCell ref="E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2026-06-25T17:20:19Z</dcterms:created>
  <dc:creator>openpyxl</dc:creator>
  <dc:description/>
  <dc:language>en-US</dc:language>
  <cp:lastModifiedBy/>
  <dcterms:modified xsi:type="dcterms:W3CDTF">2026-06-25T17:37:05Z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